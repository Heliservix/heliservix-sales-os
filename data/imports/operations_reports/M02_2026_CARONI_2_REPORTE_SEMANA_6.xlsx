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MAN\Desktop\NUEVA\DOCUMENTOS\DOCUMENTOS MAREA\"/>
    </mc:Choice>
  </mc:AlternateContent>
  <xr:revisionPtr revIDLastSave="0" documentId="13_ncr:1_{AD92A6EF-82E7-42F3-AA8E-C176BF3158E4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INSTRUCCIONES" sheetId="1" r:id="rId1"/>
    <sheet name="INFORME SEMANAL" sheetId="2" r:id="rId2"/>
    <sheet name="NO RUTINAS" sheetId="3" r:id="rId3"/>
    <sheet name="TRABAJOS PENDIENTES" sheetId="4" r:id="rId4"/>
    <sheet name="CONSUMO MATERIALES" sheetId="5" r:id="rId5"/>
    <sheet name="PEDIDOS" sheetId="6" r:id="rId6"/>
    <sheet name="HERRAMIENTAS" sheetId="7" r:id="rId7"/>
    <sheet name="CAMBIO FILTR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7" l="1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E35" i="5"/>
  <c r="K28" i="2"/>
  <c r="J27" i="2"/>
  <c r="J29" i="2" s="1"/>
  <c r="I27" i="2"/>
  <c r="I29" i="2" s="1"/>
  <c r="H27" i="2"/>
  <c r="H29" i="2" s="1"/>
  <c r="G27" i="2"/>
  <c r="G29" i="2" s="1"/>
  <c r="F27" i="2"/>
  <c r="F29" i="2" s="1"/>
  <c r="E27" i="2"/>
  <c r="E29" i="2" s="1"/>
  <c r="D27" i="2"/>
  <c r="D29" i="2" s="1"/>
  <c r="C27" i="2"/>
  <c r="C29" i="2" s="1"/>
  <c r="B27" i="2"/>
  <c r="B29" i="2" s="1"/>
  <c r="K26" i="2"/>
  <c r="F15" i="2" s="1"/>
  <c r="J15" i="2" s="1"/>
  <c r="C21" i="2" s="1"/>
  <c r="K25" i="2"/>
  <c r="K29" i="2" l="1"/>
  <c r="K27" i="2"/>
  <c r="F16" i="2" s="1"/>
  <c r="F17" i="2" l="1"/>
  <c r="J16" i="2"/>
  <c r="G21" i="2" l="1"/>
  <c r="J21" i="2" s="1"/>
  <c r="J17" i="2"/>
</calcChain>
</file>

<file path=xl/sharedStrings.xml><?xml version="1.0" encoding="utf-8"?>
<sst xmlns="http://schemas.openxmlformats.org/spreadsheetml/2006/main" count="357" uniqueCount="189">
  <si>
    <t>EYES IN THE SKY.  TONS IN THE NET.    |    Aeropuerto Marcos A. Gelabert, Hangar 16B - Ciudad de Panamá</t>
  </si>
  <si>
    <t>GUÍA DE LLENADO PARA EL TÉCNICO</t>
  </si>
  <si>
    <t>Este libro contiene 7 formularios que el técnico debe completar al final de la marea. Las celdas resaltadas indican qué tipo de información va en cada lugar.</t>
  </si>
  <si>
    <t>LEYENDA DE COLORES</t>
  </si>
  <si>
    <t>Celda de Entrada  —  El técnico debe escribir aquí.</t>
  </si>
  <si>
    <t>Celda Calculada  —  Valor automático. No modificar.</t>
  </si>
  <si>
    <t>Encabezado  —  Solo lectura (título de sección o cabecera).</t>
  </si>
  <si>
    <t>Acento / Resaltado  —  Información clave (totales, métricas).</t>
  </si>
  <si>
    <t>Celda Neutra  —  Referencia, no requiere llenado.</t>
  </si>
  <si>
    <t>FORMULARIOS INCLUIDOS</t>
  </si>
  <si>
    <t>INFORME SEMANAL</t>
  </si>
  <si>
    <t>Datos generales de la marea, lecturas de horómetro al inicio y al cierre, control del próximo overhaul, desglose semana por semana de horas voladas, y registro de inspecciones rutinarias realizadas.</t>
  </si>
  <si>
    <t>NO RUTINAS</t>
  </si>
  <si>
    <t>Un bloque por cada trabajo no rutinario efectuado durante la marea: fecha, lecturas, novedad, gestión y material utilizado.</t>
  </si>
  <si>
    <t>TRABAJOS PENDIENTES</t>
  </si>
  <si>
    <t>Listado priorizado (ALTA / MEDIA / BAJA) de trabajos por ejecutar.</t>
  </si>
  <si>
    <t>CONSUMO MATERIALES</t>
  </si>
  <si>
    <t>Inventario de todos los materiales consumidos durante la marea.</t>
  </si>
  <si>
    <t>PEDIDOS</t>
  </si>
  <si>
    <t>Solicitudes de pedido para la próxima marea, con descripción, P/N, cantidad y urgencia.</t>
  </si>
  <si>
    <t>HERRAMIENTAS</t>
  </si>
  <si>
    <t>Estado de las herramientas calibradas. El campo ESTADO se calcula automáticamente según la fecha de vencimiento.</t>
  </si>
  <si>
    <t>CAMBIO FILTROS</t>
  </si>
  <si>
    <t>Control de cada cambio de filtro del barco con fecha, tipo, razón y horómetro.</t>
  </si>
  <si>
    <t>RECOMENDACIONES DE LLENADO</t>
  </si>
  <si>
    <t>1. Llenar el INFORME SEMANAL antes que el resto de las hojas — los datos de marea y matrícula sirven de referencia.</t>
  </si>
  <si>
    <t>2. Las fechas se escriben en formato DD/MM/AAAA (ejemplo: 04/01/2026).</t>
  </si>
  <si>
    <t>3. Los horómetros, horas de aeronave y horas de motor se anotan con un decimal (ejemplo: 1453.4).</t>
  </si>
  <si>
    <t>4. Si un campo no aplica, dejarlo en blanco. No escribir 'N/A' ni '0' para evitar errores en las fórmulas.</t>
  </si>
  <si>
    <t>5. Al cerrar la marea, guardar el archivo con el formato: Mxx_AAAA_NOMBREBARCO_REPORTE_FINAL.xlsx (ejemplo: M01_2026_ORINOCO_REPORTE_FINAL.xlsx).</t>
  </si>
  <si>
    <t>6. Conservar el archivo original y enviar copia firmada a oficina central.</t>
  </si>
  <si>
    <t>Técnico Responsable:  _______________________________
Firma:</t>
  </si>
  <si>
    <t>Revisado por:  _______________________________
Fecha:</t>
  </si>
  <si>
    <t>INFORME SEMANAL DE OPERACIONES</t>
  </si>
  <si>
    <t>1.  IDENTIFICACIÓN DE LA MAREA Y AERONAVE</t>
  </si>
  <si>
    <t>Código de Marea:</t>
  </si>
  <si>
    <t>B/M Atunero:</t>
  </si>
  <si>
    <t>Matrícula:</t>
  </si>
  <si>
    <t>HP-1782</t>
  </si>
  <si>
    <t>S/N:</t>
  </si>
  <si>
    <t>Fecha Inicio Marea:</t>
  </si>
  <si>
    <t>Fecha Fin Marea:</t>
  </si>
  <si>
    <t>Fecha Reporte:</t>
  </si>
  <si>
    <t>Semana N°:</t>
  </si>
  <si>
    <t>DURACIÓN DE LA MAREA:</t>
  </si>
  <si>
    <t>días</t>
  </si>
  <si>
    <t>Equivalente en semanas:</t>
  </si>
  <si>
    <t>2.  LECTURA DE HORÓMETROS  (Estado de la Aeronave)</t>
  </si>
  <si>
    <t>AL INICIO DE LA MAREA</t>
  </si>
  <si>
    <t>ESTADO ACTUAL</t>
  </si>
  <si>
    <t>HORAS MAREA</t>
  </si>
  <si>
    <t>Parámetro</t>
  </si>
  <si>
    <t>Valor (hrs)</t>
  </si>
  <si>
    <t>Diferencia (hrs)</t>
  </si>
  <si>
    <t>Horómetro (HOBBS)</t>
  </si>
  <si>
    <t>Horas Totales Aeronave</t>
  </si>
  <si>
    <t>Horas Totales Motor</t>
  </si>
  <si>
    <t>3.  CONTROL DE INSPECCIÓN PRÓXIMA  (Motor)</t>
  </si>
  <si>
    <t>Próxima Inspección</t>
  </si>
  <si>
    <t>Hrs al Último OH</t>
  </si>
  <si>
    <t>Hrs al Próximo OH</t>
  </si>
  <si>
    <t>Hrs Remanentes</t>
  </si>
  <si>
    <t>Estado</t>
  </si>
  <si>
    <t>INSP. 2200 HRS</t>
  </si>
  <si>
    <t>4.  DESGLOSE SEMANAL DE HORAS VOLADAS  (Marea Actual)</t>
  </si>
  <si>
    <t>Concepto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</si>
  <si>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</si>
  <si>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</si>
  <si>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</si>
  <si>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</si>
  <si>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</si>
  <si>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</si>
  <si>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</si>
  <si>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</si>
  <si>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</si>
  <si>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 MAREA</t>
  </si>
  <si>
    <t>Horómetro Inicia (hrs)</t>
  </si>
  <si>
    <t>Horómetro Termina (hrs)</t>
  </si>
  <si>
    <t>Horas Voladas en Semana</t>
  </si>
  <si>
    <t>Consumo de Aceite (Qts)</t>
  </si>
  <si>
    <t>Consumo Combustible (Gls)</t>
  </si>
  <si>
    <t>5.  INSPECCIONES RUTINARIAS REALIZADAS EN LA MAREA</t>
  </si>
  <si>
    <t>#</t>
  </si>
  <si>
    <t>Fecha</t>
  </si>
  <si>
    <t>Horómetro</t>
  </si>
  <si>
    <t>Hrs Aeronave</t>
  </si>
  <si>
    <t>Hrs Motor</t>
  </si>
  <si>
    <t>Tipo Inspección</t>
  </si>
  <si>
    <t>Descripción / Observaciones</t>
  </si>
  <si>
    <t>TRABAJOS NO RUTINARIOS EFECTUADOS EN MAREA</t>
  </si>
  <si>
    <t>Registre cada trabajo no rutinario en un bloque numerado. Complete los campos amarillos. Use un bloque por evento.</t>
  </si>
  <si>
    <t>NO RUTINA  N° 01</t>
  </si>
  <si>
    <t>Fecha:</t>
  </si>
  <si>
    <t>HOBBS:</t>
  </si>
  <si>
    <t>Hrs Aeronave:</t>
  </si>
  <si>
    <t>Hrs Motor:</t>
  </si>
  <si>
    <t>Técnico:</t>
  </si>
  <si>
    <t>NOVEDAD:</t>
  </si>
  <si>
    <t>GESTIÓN DE
MANTENIMIENTO:</t>
  </si>
  <si>
    <t>MATERIAL UTILIZADO</t>
  </si>
  <si>
    <t>Descripción</t>
  </si>
  <si>
    <t>P/N</t>
  </si>
  <si>
    <t>Cantidad</t>
  </si>
  <si>
    <t>Observaciones</t>
  </si>
  <si>
    <t>NO RUTINA  N° 02</t>
  </si>
  <si>
    <t>NO RUTINA  N° 03</t>
  </si>
  <si>
    <t>NO RUTINA  N° 04</t>
  </si>
  <si>
    <t>NO RUTINA  N° 05</t>
  </si>
  <si>
    <t>NO RUTINA  N° 06</t>
  </si>
  <si>
    <t>NO RUTINA  N° 07</t>
  </si>
  <si>
    <t>NO RUTINA  N° 08</t>
  </si>
  <si>
    <t>TRABAJOS PENDIENTES POR REALIZAR</t>
  </si>
  <si>
    <t>ÍTEM</t>
  </si>
  <si>
    <t>PRIORIDAD</t>
  </si>
  <si>
    <t>DESCRIPCIÓN</t>
  </si>
  <si>
    <t>FECHA REGISTRO</t>
  </si>
  <si>
    <t>ESTADO</t>
  </si>
  <si>
    <t>CONSUMO DE MATERIALES EN MAREA</t>
  </si>
  <si>
    <t>Marea:</t>
  </si>
  <si>
    <t>REFERENCIA</t>
  </si>
  <si>
    <t>CANTIDAD</t>
  </si>
  <si>
    <t>OBSERVACIÓN</t>
  </si>
  <si>
    <t>TOTAL DE ÍTEMS CONSUMIDOS:</t>
  </si>
  <si>
    <t>SOLICITUD DE PEDIDOS PARA MAREA</t>
  </si>
  <si>
    <t>OBSERVACIÓN / URGENCIA</t>
  </si>
  <si>
    <t>LISTADO DE HERRAMIENTAS CALIBRADAS</t>
  </si>
  <si>
    <t>N° SERIE</t>
  </si>
  <si>
    <t>ÚLT. REVISIÓN</t>
  </si>
  <si>
    <t>VENCIMIENTO</t>
  </si>
  <si>
    <t>COMENTARIOS</t>
  </si>
  <si>
    <t>CONTROL DE CAMBIO DE FILTROS DEL BARCO</t>
  </si>
  <si>
    <t>FECHA</t>
  </si>
  <si>
    <t>TIPO DE FILTRO</t>
  </si>
  <si>
    <t>RAZÓN DEL CAMBIO</t>
  </si>
  <si>
    <t>HOROMETRO</t>
  </si>
  <si>
    <t xml:space="preserve">© PACIFIC HELICOPTER SUPPLIES INC |  Documento de uso interno  |  Tel: +507 69490444  |  </t>
  </si>
  <si>
    <t xml:space="preserve">  |    Aeronave: Robinson R44 Clipper I    |    Operación: Localización Aérea de Cardúmenes</t>
  </si>
  <si>
    <t xml:space="preserve">    Aeronave: Robinson R44 Clipper I    |    Operación: Localización Aérea de Cardúmenes</t>
  </si>
  <si>
    <t>|    Aeronave: Robinson R44 Clipper I    |    Operación: Localización Aérea de Cardúmenes</t>
  </si>
  <si>
    <t xml:space="preserve"> |    Aeronave: Robinson R44 Clipper I    |    Operación: Localización Aérea de Cardúmenes</t>
  </si>
  <si>
    <t>M/N CARONI 2</t>
  </si>
  <si>
    <t>25 HRS</t>
  </si>
  <si>
    <t>50 HRS</t>
  </si>
  <si>
    <t>M02-2026</t>
  </si>
  <si>
    <t>ACEITE W100 PLUS</t>
  </si>
  <si>
    <t>COMBUSTIBLE</t>
  </si>
  <si>
    <t>FILTRO ACEITE CH48108-1</t>
  </si>
  <si>
    <t>CH48108-1</t>
  </si>
  <si>
    <t>Se efectuo inpseccion 25hrs cambio de aceite 9 qts W100 PLUS</t>
  </si>
  <si>
    <t>100 HRS</t>
  </si>
  <si>
    <t xml:space="preserve">Se efectuo inspeccion 100 hrs segun manual operador. Se cambio filtro de aceite CH48108-1, cambio de aceite 9 qts W100 PLUS, se limpiaron y rotaron bujias, se limpio filtro de combustible (gascolector), se limpio filtro de aire y se giró, chequeo de compresion cyl-1. 80/70,  cyl-3. 80/72,  cyl-5. 80/74, cyl-2. 80/76,       cyl-4. 80/78, cyl-6. 80/72. </t>
  </si>
  <si>
    <t>Se efectuo inspeccion de 50hrs cambio de aceite .9qts w-100 plus, filtro aceite.CH48108-1, se limpio filtro de combustible (gascolector) y se limpiaron y rotaron bujias segun manual.</t>
  </si>
  <si>
    <t>Reparacion</t>
  </si>
  <si>
    <t>Se reparo cableado electrico de la luz de navegacion trasera, quedando opertivo.</t>
  </si>
  <si>
    <t>Se efectuo inspeccion 100 hrs segun manual operador. Se cambio filtro de aceite CH48108-1, cambio de aceite 9 qts W100 PLUS, se limpiaron y rotaron bujias, se limpio filtro de combustible (gascolector), chequeo de compresion cyl-1. 80/70,  cyl-3. 80/74,  cyl-5. 80/75, cyl-2. 80/75, cyl-4. 80/76, cyl-6. 80/72.</t>
  </si>
  <si>
    <t>Se cambio filtro de aire según M/M</t>
  </si>
  <si>
    <t xml:space="preserve">Se reemplazo motor del governador. P/N on: BZ47-5, P/N off: BZ76-2, S/N on: 6581, S/N off: 6180. </t>
  </si>
  <si>
    <t>Se reparo ducto de enfriammiento de la bateria.</t>
  </si>
  <si>
    <t>Mantienimiento</t>
  </si>
  <si>
    <t>GALONES</t>
  </si>
  <si>
    <t>QTS</t>
  </si>
  <si>
    <t>FILTRO DE AIRE</t>
  </si>
  <si>
    <t xml:space="preserve">GOVERNADOR </t>
  </si>
  <si>
    <t>S/N: 6581</t>
  </si>
  <si>
    <t xml:space="preserve">FILTRO DE ACEITE </t>
  </si>
  <si>
    <t>B-771-2</t>
  </si>
  <si>
    <t>FILTRO DE SISTEMA HIDRAULICO</t>
  </si>
  <si>
    <t>AN6235-1A</t>
  </si>
  <si>
    <t>TAIL ROTOR GUARD ASSY</t>
  </si>
  <si>
    <t>D079-1</t>
  </si>
  <si>
    <t>MUESTRA RAJADURA EN EL EMPOTRE CON EL FUSELAJE</t>
  </si>
  <si>
    <t>ACEITE AEROSHELL W100PLUS</t>
  </si>
  <si>
    <t>CAJAS</t>
  </si>
  <si>
    <t>PARA MANTENER EN STOCK</t>
  </si>
  <si>
    <t>ACOPLE DE MAGNETO DERECHO</t>
  </si>
  <si>
    <t>ACOPLE DE MAGNETO IZQUIERDO</t>
  </si>
  <si>
    <t>ROLLOS DE ALAMBRE 41</t>
  </si>
  <si>
    <t>CINTURON PILOTO</t>
  </si>
  <si>
    <t>F628-1</t>
  </si>
  <si>
    <t>C628-6</t>
  </si>
  <si>
    <t>CINTURON COPILOTO</t>
  </si>
  <si>
    <t>HEAD SET</t>
  </si>
  <si>
    <t>ESPONJA DEL MICROFONO DEL HEAD SET</t>
  </si>
  <si>
    <t>B771-2</t>
  </si>
  <si>
    <t>BZ47-5</t>
  </si>
  <si>
    <t>Se reparo tail rotor guard M/M= 4.400 seccion page 4.21</t>
  </si>
  <si>
    <t>Se efectuo inpseccion 25hrs cambio de aceite 9 qts W100 PLUS.</t>
  </si>
  <si>
    <t>Se efectuo inspeccion de 25hrs cambio de aceite 9 qts w-100 plus</t>
  </si>
  <si>
    <t>Se efectuo inspeccion de 50hrs cambio de aceite 9 qts w-100 plus, filtro aceite.CH48108-1, se limpio filtro de combustible (gascolector) y se limpiaron y rotaron bujias segun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</si>
</sst>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6" x14ac:knownFonts="1">
    <font>
      <sz val="11"/>
      <color theme="1"/>
      <name val="Calibri"/>
      <family val="2"/>
      <charset val="1"/>
    </font>
    <font>
      <i/>
      <sz val="9"/>
      <color rgb="FFEAF1F8"/>
      <name val="Arial"/>
      <family val="2"/>
    </font>
    <font>
      <b/>
      <sz val="14"/>
      <color rgb="FF112B45"/>
      <name val="Arial"/>
      <family val="2"/>
    </font>
    <font>
      <sz val="9"/>
      <color rgb="FF5D7A9A"/>
      <name val="Arial"/>
      <family val="2"/>
    </font>
    <font>
      <sz val="10"/>
      <color rgb="FF1A1A1A"/>
      <name val="Arial"/>
      <family val="2"/>
    </font>
    <font>
      <b/>
      <sz val="11"/>
      <color rgb="FFFFFFFF"/>
      <name val="Arial"/>
      <family val="2"/>
    </font>
    <font>
      <b/>
      <sz val="10"/>
      <color rgb="FF0B1A2E"/>
      <name val="Arial"/>
      <family val="2"/>
    </font>
    <font>
      <sz val="9"/>
      <color rgb="FF0B1A2E"/>
      <name val="Arial"/>
      <family val="2"/>
    </font>
    <font>
      <i/>
      <sz val="8"/>
      <color rgb="FF4A5568"/>
      <name val="Arial"/>
      <family val="2"/>
    </font>
    <font>
      <b/>
      <sz val="10"/>
      <color rgb="FF1A1A1A"/>
      <name val="Arial"/>
      <family val="2"/>
    </font>
    <font>
      <b/>
      <sz val="14"/>
      <color rgb="FFFFFFFF"/>
      <name val="Arial"/>
      <family val="2"/>
    </font>
    <font>
      <b/>
      <sz val="9"/>
      <color rgb="FF0B1A2E"/>
      <name val="Arial"/>
      <family val="2"/>
    </font>
    <font>
      <b/>
      <sz val="11"/>
      <color rgb="FF0B1A2E"/>
      <name val="Arial"/>
      <family val="2"/>
    </font>
    <font>
      <b/>
      <sz val="10"/>
      <color rgb="FFFFFFFF"/>
      <name val="Arial"/>
      <family val="2"/>
    </font>
    <font>
      <i/>
      <sz val="9"/>
      <color rgb="FF4A5568"/>
      <name val="Arial"/>
      <family val="2"/>
    </font>
    <font>
      <b/>
      <sz val="9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B1A2E"/>
        <bgColor rgb="FF1A1A1A"/>
      </patternFill>
    </fill>
    <fill>
      <patternFill patternType="solid">
        <fgColor rgb="FF0057A8"/>
        <bgColor rgb="FF008080"/>
      </patternFill>
    </fill>
    <fill>
      <patternFill patternType="solid">
        <fgColor rgb="FF112B45"/>
        <bgColor rgb="FF0B1A2E"/>
      </patternFill>
    </fill>
    <fill>
      <patternFill patternType="solid">
        <fgColor rgb="FFFFFFFF"/>
        <bgColor rgb="FFF4F7FB"/>
      </patternFill>
    </fill>
    <fill>
      <patternFill patternType="solid">
        <fgColor rgb="FFDCE6F2"/>
        <bgColor rgb="FFEAF1F8"/>
      </patternFill>
    </fill>
    <fill>
      <patternFill patternType="solid">
        <fgColor rgb="FFF4F7FB"/>
        <bgColor rgb="FFF2F4F7"/>
      </patternFill>
    </fill>
    <fill>
      <patternFill patternType="solid">
        <fgColor rgb="FFEAF1F8"/>
        <bgColor rgb="FFF2F4F7"/>
      </patternFill>
    </fill>
    <fill>
      <patternFill patternType="solid">
        <fgColor rgb="FFF2F4F7"/>
        <bgColor rgb="FFF4F7FB"/>
      </patternFill>
    </fill>
    <fill>
      <patternFill patternType="solid">
        <fgColor theme="0"/>
        <bgColor rgb="FF1A1A1A"/>
      </patternFill>
    </fill>
    <fill>
      <patternFill patternType="solid">
        <fgColor theme="0"/>
        <bgColor rgb="FF008080"/>
      </patternFill>
    </fill>
  </fills>
  <borders count="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 style="thin">
        <color rgb="FF2E78C7"/>
      </left>
      <right style="thin">
        <color rgb="FF2E78C7"/>
      </right>
      <top style="thin">
        <color rgb="FF2E78C7"/>
      </top>
      <bottom style="thin">
        <color rgb="FF2E78C7"/>
      </bottom>
      <diagonal/>
    </border>
    <border>
      <left style="thin">
        <color rgb="FF2E78C7"/>
      </left>
      <right/>
      <top style="thin">
        <color rgb="FF2E78C7"/>
      </top>
      <bottom style="thin">
        <color rgb="FF2E78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E78C7"/>
      </top>
      <bottom style="thin">
        <color rgb="FF2E78C7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2E78C7"/>
      </right>
      <top style="thin">
        <color rgb="FF2E78C7"/>
      </top>
      <bottom style="thin">
        <color rgb="FF2E78C7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8" borderId="1" xfId="0" applyFill="1" applyBorder="1"/>
    <xf numFmtId="0" fontId="4" fillId="0" borderId="0" xfId="0" applyFont="1" applyAlignment="1">
      <alignment horizontal="left" vertical="center" wrapText="1" indent="1"/>
    </xf>
    <xf numFmtId="0" fontId="0" fillId="6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6" fillId="6" borderId="1" xfId="0" applyFont="1" applyFill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164" fontId="9" fillId="8" borderId="3" xfId="0" applyNumberFormat="1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indent="1"/>
    </xf>
    <xf numFmtId="0" fontId="0" fillId="9" borderId="1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65" fontId="9" fillId="8" borderId="3" xfId="0" applyNumberFormat="1" applyFont="1" applyFill="1" applyBorder="1" applyAlignment="1">
      <alignment horizontal="left" vertical="center" wrapText="1" indent="1"/>
    </xf>
    <xf numFmtId="165" fontId="6" fillId="6" borderId="1" xfId="0" applyNumberFormat="1" applyFont="1" applyFill="1" applyBorder="1" applyAlignment="1">
      <alignment horizontal="left" vertical="center" wrapText="1" indent="1"/>
    </xf>
    <xf numFmtId="1" fontId="9" fillId="8" borderId="3" xfId="0" applyNumberFormat="1" applyFont="1" applyFill="1" applyBorder="1" applyAlignment="1">
      <alignment horizontal="left" vertical="center" wrapText="1" indent="1"/>
    </xf>
    <xf numFmtId="1" fontId="6" fillId="6" borderId="1" xfId="0" applyNumberFormat="1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 indent="1"/>
    </xf>
    <xf numFmtId="164" fontId="9" fillId="8" borderId="4" xfId="0" applyNumberFormat="1" applyFont="1" applyFill="1" applyBorder="1" applyAlignment="1">
      <alignment horizontal="left" vertical="center" wrapText="1" indent="1"/>
    </xf>
    <xf numFmtId="0" fontId="6" fillId="9" borderId="5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top" wrapText="1" indent="1"/>
    </xf>
    <xf numFmtId="0" fontId="0" fillId="3" borderId="0" xfId="0" applyFill="1"/>
    <xf numFmtId="0" fontId="7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center" vertical="center"/>
    </xf>
    <xf numFmtId="0" fontId="0" fillId="6" borderId="0" xfId="0" applyFill="1"/>
    <xf numFmtId="0" fontId="4" fillId="7" borderId="0" xfId="0" applyFont="1" applyFill="1" applyAlignment="1">
      <alignment horizontal="left" vertical="top" wrapText="1" indent="1"/>
    </xf>
    <xf numFmtId="0" fontId="5" fillId="2" borderId="0" xfId="0" applyFont="1" applyFill="1" applyAlignment="1">
      <alignment horizontal="left" vertical="center" indent="1"/>
    </xf>
    <xf numFmtId="0" fontId="0" fillId="10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8" borderId="4" xfId="0" applyFont="1" applyFill="1" applyBorder="1" applyAlignment="1">
      <alignment horizontal="left" vertical="center" wrapText="1" indent="1"/>
    </xf>
    <xf numFmtId="0" fontId="9" fillId="8" borderId="8" xfId="0" applyFont="1" applyFill="1" applyBorder="1" applyAlignment="1">
      <alignment horizontal="left" vertical="center" wrapText="1" indent="1"/>
    </xf>
    <xf numFmtId="0" fontId="9" fillId="8" borderId="6" xfId="0" applyFont="1" applyFill="1" applyBorder="1" applyAlignment="1">
      <alignment horizontal="left" vertical="center" wrapText="1" indent="1"/>
    </xf>
    <xf numFmtId="0" fontId="13" fillId="2" borderId="2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165" fontId="9" fillId="8" borderId="4" xfId="0" applyNumberFormat="1" applyFont="1" applyFill="1" applyBorder="1" applyAlignment="1">
      <alignment horizontal="center" vertical="center" wrapText="1"/>
    </xf>
    <xf numFmtId="165" fontId="12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65" fontId="9" fillId="8" borderId="4" xfId="0" applyNumberFormat="1" applyFont="1" applyFill="1" applyBorder="1" applyAlignment="1">
      <alignment horizontal="left" vertical="center" wrapText="1" indent="1"/>
    </xf>
    <xf numFmtId="165" fontId="6" fillId="6" borderId="2" xfId="0" applyNumberFormat="1" applyFont="1" applyFill="1" applyBorder="1" applyAlignment="1">
      <alignment horizontal="left" vertical="center" wrapText="1" indent="1"/>
    </xf>
    <xf numFmtId="0" fontId="11" fillId="9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right" vertical="center" indent="1"/>
    </xf>
    <xf numFmtId="0" fontId="5" fillId="2" borderId="7" xfId="0" applyFont="1" applyFill="1" applyBorder="1" applyAlignment="1">
      <alignment horizontal="right" vertical="center" indent="1"/>
    </xf>
    <xf numFmtId="1" fontId="10" fillId="3" borderId="2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right" vertical="center" indent="1"/>
    </xf>
    <xf numFmtId="164" fontId="9" fillId="8" borderId="6" xfId="0" applyNumberFormat="1" applyFont="1" applyFill="1" applyBorder="1" applyAlignment="1">
      <alignment horizontal="left" vertical="center" wrapText="1" indent="1"/>
    </xf>
    <xf numFmtId="164" fontId="9" fillId="8" borderId="4" xfId="0" applyNumberFormat="1" applyFont="1" applyFill="1" applyBorder="1" applyAlignment="1">
      <alignment horizontal="left" vertical="center" wrapText="1" indent="1"/>
    </xf>
    <xf numFmtId="0" fontId="0" fillId="11" borderId="0" xfId="0" applyFill="1"/>
    <xf numFmtId="0" fontId="9" fillId="8" borderId="4" xfId="0" applyFont="1" applyFill="1" applyBorder="1" applyAlignment="1">
      <alignment horizontal="left" vertical="top" wrapText="1" indent="1"/>
    </xf>
    <xf numFmtId="0" fontId="6" fillId="6" borderId="2" xfId="0" applyFont="1" applyFill="1" applyBorder="1" applyAlignment="1">
      <alignment horizontal="left" vertical="center" indent="1"/>
    </xf>
    <xf numFmtId="0" fontId="1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indent="1"/>
    </xf>
    <xf numFmtId="0" fontId="14" fillId="7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AF1F8"/>
      <rgbColor rgb="FF660066"/>
      <rgbColor rgb="FFFF8080"/>
      <rgbColor rgb="FF0057A8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F2F4F7"/>
      <rgbColor rgb="FFFFFF99"/>
      <rgbColor rgb="FF99CCFF"/>
      <rgbColor rgb="FFFF99CC"/>
      <rgbColor rgb="FFCC99FF"/>
      <rgbColor rgb="FFFFCC99"/>
      <rgbColor rgb="FF2E78C7"/>
      <rgbColor rgb="FF33CCCC"/>
      <rgbColor rgb="FF99CC00"/>
      <rgbColor rgb="FFFFCC00"/>
      <rgbColor rgb="FFFF9900"/>
      <rgbColor rgb="FFFF6600"/>
      <rgbColor rgb="FF5D7A9A"/>
      <rgbColor rgb="FF969696"/>
      <rgbColor rgb="FF112B45"/>
      <rgbColor rgb="FF339966"/>
      <rgbColor rgb="FF0B1A2E"/>
      <rgbColor rgb="FF333300"/>
      <rgbColor rgb="FF993300"/>
      <rgbColor rgb="FF993366"/>
      <rgbColor rgb="FF4A556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1841500</xdr:colOff>
      <xdr:row>0</xdr:row>
      <xdr:rowOff>63500</xdr:rowOff>
    </xdr:from>
    <xdr:to>
      <xdr:col>2</xdr:col>
      <xdr:colOff>2818420</xdr:colOff>
      <xdr:row>0</xdr:row>
      <xdr:rowOff>1358900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93497F53-E3FD-644A-8F3B-A90354AC2F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46300" y="63500"/>
          <a:ext cx="3110520" cy="129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596900</xdr:colOff>
      <xdr:row>0</xdr:row>
      <xdr:rowOff>76200</xdr:rowOff>
    </xdr:from>
    <xdr:to>
      <xdr:col>7</xdr:col>
      <xdr:colOff>0</xdr:colOff>
      <xdr:row>1</xdr:row>
      <xdr:rowOff>190500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865474-2730-E64C-8D5E-FDF47270C1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14700" y="76200"/>
          <a:ext cx="3657600" cy="144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279400</xdr:colOff>
      <xdr:row>0</xdr:row>
      <xdr:rowOff>0</xdr:rowOff>
    </xdr:from>
    <xdr:to>
      <xdr:col>6</xdr:col>
      <xdr:colOff>736600</xdr:colOff>
      <xdr:row>1</xdr:row>
      <xdr:rowOff>190500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D1C013F-3E05-5D48-8943-2F9F78AC30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56000" y="0"/>
          <a:ext cx="3657600" cy="144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774700</xdr:colOff>
      <xdr:row>0</xdr:row>
      <xdr:rowOff>0</xdr:rowOff>
    </xdr:from>
    <xdr:to>
      <xdr:col>2</xdr:col>
      <xdr:colOff>4432300</xdr:colOff>
      <xdr:row>1</xdr:row>
      <xdr:rowOff>444500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860E4E44-BCA1-F643-8B86-4D5A7E42BE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51100" y="0"/>
          <a:ext cx="3657600" cy="144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2120900</xdr:colOff>
      <xdr:row>0</xdr:row>
      <xdr:rowOff>76200</xdr:rowOff>
    </xdr:from>
    <xdr:to>
      <xdr:col>4</xdr:col>
      <xdr:colOff>596900</xdr:colOff>
      <xdr:row>1</xdr:row>
      <xdr:rowOff>685800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E0754A-F6F4-1049-9D56-23A8112EE0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8100" y="76200"/>
          <a:ext cx="3657600" cy="144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2032000</xdr:colOff>
      <xdr:row>0</xdr:row>
      <xdr:rowOff>63500</xdr:rowOff>
    </xdr:from>
    <xdr:to>
      <xdr:col>4</xdr:col>
      <xdr:colOff>723900</xdr:colOff>
      <xdr:row>1</xdr:row>
      <xdr:rowOff>825500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BCA3B742-EE3C-154C-A7EF-0AFBDABF89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89200" y="63500"/>
          <a:ext cx="3873500" cy="1600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279400</xdr:colOff>
      <xdr:row>0</xdr:row>
      <xdr:rowOff>165100</xdr:rowOff>
    </xdr:from>
    <xdr:to>
      <xdr:col>5</xdr:col>
      <xdr:colOff>127000</xdr:colOff>
      <xdr:row>1</xdr:row>
      <xdr:rowOff>774700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582E5677-43ED-794F-A66F-79BEA8F499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75000" y="165100"/>
          <a:ext cx="3657600" cy="144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1334480</xdr:colOff>
      <xdr:row>0</xdr:row>
      <xdr:rowOff>12700</xdr:rowOff>
    </xdr:from>
    <xdr:to>
      <xdr:col>4</xdr:col>
      <xdr:colOff>482600</xdr:colOff>
      <xdr:row>1</xdr:row>
      <xdr:rowOff>139700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5FA6FC7-720B-7546-B1F0-770CE5CFA2B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8480" y="12700"/>
          <a:ext cx="3110520" cy="1295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A2E"/>
    <pageSetUpPr fitToPage="1"/>
  </sheetPr>
  <dimension ref="A1:D35"/>
  <sheetViews>
    <sheetView showGridLines="0" topLeftCell="A10" zoomScaleNormal="100" workbookViewId="0">
      <selection activeCell="H25" sqref="H25"/>
    </sheetView>
  </sheetViews>
  <sheetFormatPr baseColWidth="10" defaultColWidth="8.7109375" defaultRowHeight="15" x14ac:dyDescent="0.25"/>
  <cols>
    <col min="1" max="1" width="4" customWidth="1"/>
    <col min="2" max="2" width="28" customWidth="1"/>
    <col min="3" max="3" width="60" customWidth="1"/>
    <col min="4" max="4" width="6" customWidth="1"/>
  </cols>
  <sheetData>
    <row r="1" spans="1:4" ht="111" customHeight="1" x14ac:dyDescent="0.25">
      <c r="A1" s="35"/>
      <c r="B1" s="35"/>
      <c r="C1" s="35"/>
      <c r="D1" s="35"/>
    </row>
    <row r="2" spans="1:4" ht="3" customHeight="1" x14ac:dyDescent="0.25">
      <c r="A2" s="29"/>
      <c r="B2" s="29"/>
      <c r="C2" s="29"/>
      <c r="D2" s="29"/>
    </row>
    <row r="3" spans="1:4" ht="18" customHeight="1" x14ac:dyDescent="0.25">
      <c r="A3" s="36" t="s">
        <v>0</v>
      </c>
      <c r="B3" s="36"/>
      <c r="C3" s="36"/>
      <c r="D3" s="36"/>
    </row>
    <row r="4" spans="1:4" ht="25.5" customHeight="1" x14ac:dyDescent="0.25">
      <c r="A4" s="37" t="s">
        <v>1</v>
      </c>
      <c r="B4" s="37"/>
      <c r="C4" s="37"/>
      <c r="D4" s="37"/>
    </row>
    <row r="5" spans="1:4" ht="15.75" customHeight="1" x14ac:dyDescent="0.25">
      <c r="A5" s="38" t="s">
        <v>139</v>
      </c>
      <c r="B5" s="38"/>
      <c r="C5" s="38"/>
      <c r="D5" s="38"/>
    </row>
    <row r="6" spans="1:4" ht="6.95" customHeight="1" x14ac:dyDescent="0.25">
      <c r="A6" s="32"/>
      <c r="B6" s="32"/>
      <c r="C6" s="32"/>
      <c r="D6" s="32"/>
    </row>
    <row r="7" spans="1:4" ht="36" customHeight="1" x14ac:dyDescent="0.25">
      <c r="B7" s="33" t="s">
        <v>2</v>
      </c>
      <c r="C7" s="33"/>
    </row>
    <row r="9" spans="1:4" ht="21.75" customHeight="1" x14ac:dyDescent="0.25">
      <c r="A9" s="34" t="s">
        <v>3</v>
      </c>
      <c r="B9" s="34"/>
      <c r="C9" s="34"/>
      <c r="D9" s="34"/>
    </row>
    <row r="10" spans="1:4" ht="21.75" customHeight="1" x14ac:dyDescent="0.25">
      <c r="B10" s="1"/>
      <c r="C10" s="2" t="s">
        <v>4</v>
      </c>
    </row>
    <row r="11" spans="1:4" ht="21.75" customHeight="1" x14ac:dyDescent="0.25">
      <c r="B11" s="3"/>
      <c r="C11" s="2" t="s">
        <v>5</v>
      </c>
    </row>
    <row r="12" spans="1:4" ht="21.75" customHeight="1" x14ac:dyDescent="0.25">
      <c r="B12" s="4"/>
      <c r="C12" s="2" t="s">
        <v>6</v>
      </c>
    </row>
    <row r="13" spans="1:4" ht="21.75" customHeight="1" x14ac:dyDescent="0.25">
      <c r="B13" s="5"/>
      <c r="C13" s="2" t="s">
        <v>7</v>
      </c>
    </row>
    <row r="14" spans="1:4" ht="21.75" customHeight="1" x14ac:dyDescent="0.25">
      <c r="B14" s="6"/>
      <c r="C14" s="2" t="s">
        <v>8</v>
      </c>
    </row>
    <row r="16" spans="1:4" ht="21.75" customHeight="1" x14ac:dyDescent="0.25">
      <c r="A16" s="34" t="s">
        <v>9</v>
      </c>
      <c r="B16" s="34"/>
      <c r="C16" s="34"/>
      <c r="D16" s="34"/>
    </row>
    <row r="17" spans="1:4" ht="51" customHeight="1" x14ac:dyDescent="0.25">
      <c r="B17" s="7" t="s">
        <v>10</v>
      </c>
      <c r="C17" s="8" t="s">
        <v>11</v>
      </c>
    </row>
    <row r="18" spans="1:4" ht="36" customHeight="1" x14ac:dyDescent="0.25">
      <c r="B18" s="7" t="s">
        <v>12</v>
      </c>
      <c r="C18" s="8" t="s">
        <v>13</v>
      </c>
    </row>
    <row r="19" spans="1:4" ht="36" customHeight="1" x14ac:dyDescent="0.25">
      <c r="B19" s="7" t="s">
        <v>14</v>
      </c>
      <c r="C19" s="8" t="s">
        <v>15</v>
      </c>
    </row>
    <row r="20" spans="1:4" ht="36" customHeight="1" x14ac:dyDescent="0.25">
      <c r="B20" s="7" t="s">
        <v>16</v>
      </c>
      <c r="C20" s="8" t="s">
        <v>17</v>
      </c>
    </row>
    <row r="21" spans="1:4" ht="36" customHeight="1" x14ac:dyDescent="0.25">
      <c r="B21" s="7" t="s">
        <v>18</v>
      </c>
      <c r="C21" s="8" t="s">
        <v>19</v>
      </c>
    </row>
    <row r="22" spans="1:4" ht="36" customHeight="1" x14ac:dyDescent="0.25">
      <c r="B22" s="7" t="s">
        <v>20</v>
      </c>
      <c r="C22" s="8" t="s">
        <v>21</v>
      </c>
    </row>
    <row r="23" spans="1:4" ht="36" customHeight="1" x14ac:dyDescent="0.25">
      <c r="B23" s="7" t="s">
        <v>22</v>
      </c>
      <c r="C23" s="8" t="s">
        <v>23</v>
      </c>
    </row>
    <row r="25" spans="1:4" ht="21.75" customHeight="1" x14ac:dyDescent="0.25">
      <c r="A25" s="34" t="s">
        <v>24</v>
      </c>
      <c r="B25" s="34"/>
      <c r="C25" s="34"/>
      <c r="D25" s="34"/>
    </row>
    <row r="26" spans="1:4" ht="31.5" customHeight="1" x14ac:dyDescent="0.25">
      <c r="B26" s="28" t="s">
        <v>25</v>
      </c>
      <c r="C26" s="28"/>
    </row>
    <row r="27" spans="1:4" ht="31.5" customHeight="1" x14ac:dyDescent="0.25">
      <c r="B27" s="28" t="s">
        <v>26</v>
      </c>
      <c r="C27" s="28"/>
    </row>
    <row r="28" spans="1:4" ht="31.5" customHeight="1" x14ac:dyDescent="0.25">
      <c r="B28" s="28" t="s">
        <v>27</v>
      </c>
      <c r="C28" s="28"/>
    </row>
    <row r="29" spans="1:4" ht="31.5" customHeight="1" x14ac:dyDescent="0.25">
      <c r="B29" s="28" t="s">
        <v>28</v>
      </c>
      <c r="C29" s="28"/>
    </row>
    <row r="30" spans="1:4" ht="31.5" customHeight="1" x14ac:dyDescent="0.25">
      <c r="B30" s="28" t="s">
        <v>29</v>
      </c>
      <c r="C30" s="28"/>
    </row>
    <row r="31" spans="1:4" ht="31.5" customHeight="1" x14ac:dyDescent="0.25">
      <c r="B31" s="28" t="s">
        <v>30</v>
      </c>
      <c r="C31" s="28"/>
    </row>
    <row r="33" spans="1:4" ht="1.5" customHeight="1" x14ac:dyDescent="0.25">
      <c r="A33" s="29"/>
      <c r="B33" s="29"/>
      <c r="C33" s="29"/>
      <c r="D33" s="29"/>
    </row>
    <row r="34" spans="1:4" ht="36" customHeight="1" x14ac:dyDescent="0.25">
      <c r="A34" s="30" t="s">
        <v>31</v>
      </c>
      <c r="B34" s="30"/>
      <c r="C34" s="30" t="s">
        <v>32</v>
      </c>
      <c r="D34" s="30"/>
    </row>
    <row r="35" spans="1:4" ht="13.5" customHeight="1" x14ac:dyDescent="0.25">
      <c r="A35" s="31" t="s">
        <v>135</v>
      </c>
      <c r="B35" s="31"/>
      <c r="C35" s="31"/>
      <c r="D35" s="31"/>
    </row>
  </sheetData>
  <mergeCells count="20">
    <mergeCell ref="A1:D1"/>
    <mergeCell ref="A2:D2"/>
    <mergeCell ref="A3:D3"/>
    <mergeCell ref="A4:D4"/>
    <mergeCell ref="A5:D5"/>
    <mergeCell ref="A6:D6"/>
    <mergeCell ref="B7:C7"/>
    <mergeCell ref="A9:D9"/>
    <mergeCell ref="A16:D16"/>
    <mergeCell ref="A25:D25"/>
    <mergeCell ref="B26:C26"/>
    <mergeCell ref="B27:C27"/>
    <mergeCell ref="B28:C28"/>
    <mergeCell ref="B29:C29"/>
    <mergeCell ref="B30:C30"/>
    <mergeCell ref="B31:C31"/>
    <mergeCell ref="A33:D33"/>
    <mergeCell ref="A34:B34"/>
    <mergeCell ref="C34:D34"/>
    <mergeCell ref="A35:D35"/>
  </mergeCells>
  <printOptions horizontalCentered="1"/>
  <pageMargins left="0.4" right="0.4" top="0.4" bottom="0.4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A2E"/>
    <pageSetUpPr fitToPage="1"/>
  </sheetPr>
  <dimension ref="A1:K55"/>
  <sheetViews>
    <sheetView showGridLines="0" tabSelected="1" topLeftCell="A43" zoomScale="120" zoomScaleNormal="120" workbookViewId="0">
      <selection activeCell="H28" sqref="H28"/>
    </sheetView>
  </sheetViews>
  <sheetFormatPr baseColWidth="10" defaultColWidth="8.7109375" defaultRowHeight="15" x14ac:dyDescent="0.25"/>
  <cols>
    <col min="1" max="1" width="22.7109375" customWidth="1"/>
    <col min="2" max="3" width="13" customWidth="1"/>
    <col min="4" max="10" width="11" customWidth="1"/>
    <col min="11" max="11" width="12" customWidth="1"/>
  </cols>
  <sheetData>
    <row r="1" spans="1:11" ht="10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.9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8" customHeight="1" x14ac:dyDescent="0.2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25.5" customHeight="1" x14ac:dyDescent="0.25">
      <c r="A4" s="37" t="s">
        <v>33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5.75" customHeight="1" x14ac:dyDescent="0.25">
      <c r="A5" s="38" t="s">
        <v>139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3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21.75" customHeight="1" x14ac:dyDescent="0.25">
      <c r="A7" s="34" t="s">
        <v>34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ht="21.75" customHeight="1" x14ac:dyDescent="0.25">
      <c r="A8" s="9" t="s">
        <v>35</v>
      </c>
      <c r="B8" s="25" t="s">
        <v>143</v>
      </c>
      <c r="C8" s="27" t="s">
        <v>36</v>
      </c>
      <c r="D8" s="41" t="s">
        <v>140</v>
      </c>
      <c r="E8" s="39"/>
      <c r="F8" s="39"/>
      <c r="G8" s="9" t="s">
        <v>37</v>
      </c>
      <c r="H8" s="10" t="s">
        <v>38</v>
      </c>
      <c r="I8" s="9" t="s">
        <v>39</v>
      </c>
      <c r="J8" s="39">
        <v>2154</v>
      </c>
      <c r="K8" s="39"/>
    </row>
    <row r="9" spans="1:11" ht="30" customHeight="1" x14ac:dyDescent="0.25">
      <c r="A9" s="9" t="s">
        <v>40</v>
      </c>
      <c r="B9" s="26">
        <v>46168</v>
      </c>
      <c r="C9" s="27" t="s">
        <v>41</v>
      </c>
      <c r="D9" s="56"/>
      <c r="E9" s="57"/>
      <c r="F9" s="57"/>
      <c r="G9" s="9" t="s">
        <v>42</v>
      </c>
      <c r="H9" s="57">
        <v>46209</v>
      </c>
      <c r="I9" s="57"/>
      <c r="J9" s="9" t="s">
        <v>43</v>
      </c>
      <c r="K9" s="10">
        <v>6</v>
      </c>
    </row>
    <row r="10" spans="1:11" ht="25.5" customHeight="1" x14ac:dyDescent="0.25">
      <c r="A10" s="52" t="s">
        <v>44</v>
      </c>
      <c r="B10" s="52"/>
      <c r="C10" s="53"/>
      <c r="D10" s="54"/>
      <c r="E10" s="54"/>
      <c r="F10" s="12" t="s">
        <v>45</v>
      </c>
      <c r="G10" s="55" t="s">
        <v>46</v>
      </c>
      <c r="H10" s="55"/>
      <c r="I10" s="55"/>
      <c r="J10" s="45"/>
      <c r="K10" s="45"/>
    </row>
    <row r="12" spans="1:11" ht="21.75" customHeight="1" x14ac:dyDescent="0.25">
      <c r="A12" s="34" t="s">
        <v>47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24" customHeight="1" x14ac:dyDescent="0.25">
      <c r="A13" s="6"/>
      <c r="B13" s="42" t="s">
        <v>48</v>
      </c>
      <c r="C13" s="42"/>
      <c r="D13" s="42"/>
      <c r="E13" s="42"/>
      <c r="F13" s="42" t="s">
        <v>49</v>
      </c>
      <c r="G13" s="42"/>
      <c r="H13" s="42"/>
      <c r="I13" s="42"/>
      <c r="J13" s="50" t="s">
        <v>50</v>
      </c>
      <c r="K13" s="50"/>
    </row>
    <row r="14" spans="1:11" ht="19.5" customHeight="1" x14ac:dyDescent="0.25">
      <c r="A14" s="9" t="s">
        <v>51</v>
      </c>
      <c r="B14" s="51" t="s">
        <v>52</v>
      </c>
      <c r="C14" s="51"/>
      <c r="D14" s="51"/>
      <c r="E14" s="13"/>
      <c r="F14" s="51" t="s">
        <v>52</v>
      </c>
      <c r="G14" s="51"/>
      <c r="H14" s="51"/>
      <c r="I14" s="13"/>
      <c r="J14" s="51" t="s">
        <v>53</v>
      </c>
      <c r="K14" s="51"/>
    </row>
    <row r="15" spans="1:11" ht="21.75" customHeight="1" x14ac:dyDescent="0.25">
      <c r="A15" s="9" t="s">
        <v>54</v>
      </c>
      <c r="B15" s="47">
        <v>1716</v>
      </c>
      <c r="C15" s="47"/>
      <c r="D15" s="47"/>
      <c r="E15" s="6"/>
      <c r="F15" s="47">
        <f>SUM(K26)</f>
        <v>1962.2</v>
      </c>
      <c r="G15" s="47"/>
      <c r="H15" s="47"/>
      <c r="I15" s="6"/>
      <c r="J15" s="48">
        <f>F15-B15</f>
        <v>246.20000000000005</v>
      </c>
      <c r="K15" s="48"/>
    </row>
    <row r="16" spans="1:11" ht="21.75" customHeight="1" x14ac:dyDescent="0.25">
      <c r="A16" s="9" t="s">
        <v>55</v>
      </c>
      <c r="B16" s="47">
        <v>7779</v>
      </c>
      <c r="C16" s="47"/>
      <c r="D16" s="47"/>
      <c r="E16" s="6"/>
      <c r="F16" s="47">
        <f>SUM(B16,K27)</f>
        <v>8025.2</v>
      </c>
      <c r="G16" s="47"/>
      <c r="H16" s="47"/>
      <c r="I16" s="6"/>
      <c r="J16" s="48">
        <f>F16-B16</f>
        <v>246.19999999999982</v>
      </c>
      <c r="K16" s="48"/>
    </row>
    <row r="17" spans="1:11" ht="21.75" customHeight="1" x14ac:dyDescent="0.25">
      <c r="A17" s="9" t="s">
        <v>56</v>
      </c>
      <c r="B17" s="47">
        <v>949</v>
      </c>
      <c r="C17" s="47"/>
      <c r="D17" s="47"/>
      <c r="E17" s="6"/>
      <c r="F17" s="47">
        <f>SUM(B17,K27)</f>
        <v>1195.2</v>
      </c>
      <c r="G17" s="47"/>
      <c r="H17" s="47"/>
      <c r="I17" s="6"/>
      <c r="J17" s="48">
        <f>F17-B17</f>
        <v>246.20000000000005</v>
      </c>
      <c r="K17" s="48"/>
    </row>
    <row r="19" spans="1:11" ht="21.75" customHeight="1" x14ac:dyDescent="0.25">
      <c r="A19" s="34" t="s">
        <v>57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ht="21.75" customHeight="1" x14ac:dyDescent="0.25">
      <c r="A20" s="49" t="s">
        <v>58</v>
      </c>
      <c r="B20" s="49"/>
      <c r="C20" s="49" t="s">
        <v>59</v>
      </c>
      <c r="D20" s="49"/>
      <c r="E20" s="49" t="s">
        <v>60</v>
      </c>
      <c r="F20" s="49"/>
      <c r="G20" s="49" t="s">
        <v>61</v>
      </c>
      <c r="H20" s="49"/>
      <c r="J20" s="49" t="s">
        <v>62</v>
      </c>
      <c r="K20" s="49"/>
    </row>
    <row r="21" spans="1:11" ht="25.5" customHeight="1" x14ac:dyDescent="0.25">
      <c r="A21" s="43" t="s">
        <v>63</v>
      </c>
      <c r="B21" s="43"/>
      <c r="C21" s="44">
        <f>SUM(B17)+J15</f>
        <v>1195.2</v>
      </c>
      <c r="D21" s="44"/>
      <c r="E21" s="44">
        <v>2200</v>
      </c>
      <c r="F21" s="44"/>
      <c r="G21" s="45">
        <f>E21-F17</f>
        <v>1004.8</v>
      </c>
      <c r="H21" s="45"/>
      <c r="I21" s="45"/>
      <c r="J21" s="46" t="str">
        <f>IF(G21&lt;50,"⚠ CRÍTICO",IF(G21&lt;150,"⚠ ATENCIÓN","✓ OK"))</f>
        <v>✓ OK</v>
      </c>
      <c r="K21" s="46"/>
    </row>
    <row r="23" spans="1:11" ht="21.75" customHeight="1" x14ac:dyDescent="0.25">
      <c r="A23" s="34" t="s">
        <v>64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ht="24" customHeight="1" x14ac:dyDescent="0.25">
      <c r="A24" s="14" t="s">
        <v>65</v>
      </c>
      <c r="B24" s="14" t="s">
        <v>66</v>
      </c>
      <c r="C24" s="14" t="s">
        <v>67</v>
      </c>
      <c r="D24" s="14" t="s">
        <v>68</v>
      </c>
      <c r="E24" s="14" t="s">
        <v>69</v>
      </c>
      <c r="F24" s="14" t="s">
        <v>70</v>
      </c>
      <c r="G24" s="14" t="s">
        <v>71</v>
      </c>
      <c r="H24" s="14" t="s">
        <v>72</v>
      </c>
      <c r="I24" s="14" t="s">
        <v>73</v>
      </c>
      <c r="J24" s="14" t="s">
        <v>74</v>
      </c>
      <c r="K24" s="15" t="s">
        <v>75</v>
      </c>
    </row>
    <row r="25" spans="1:11" ht="21.75" customHeight="1" x14ac:dyDescent="0.25">
      <c r="A25" s="9" t="s">
        <v>76</v>
      </c>
      <c r="B25" s="16">
        <v>1716</v>
      </c>
      <c r="C25" s="16">
        <v>1742.1</v>
      </c>
      <c r="D25" s="16">
        <v>1779</v>
      </c>
      <c r="E25" s="16">
        <v>1832</v>
      </c>
      <c r="F25" s="16">
        <v>1877.7</v>
      </c>
      <c r="G25" s="16">
        <v>1930.5</v>
      </c>
      <c r="H25" s="16"/>
      <c r="I25" s="16"/>
      <c r="J25" s="16"/>
      <c r="K25" s="17">
        <f>B25</f>
        <v>1716</v>
      </c>
    </row>
    <row r="26" spans="1:11" ht="21.75" customHeight="1" x14ac:dyDescent="0.25">
      <c r="A26" s="9" t="s">
        <v>77</v>
      </c>
      <c r="B26" s="16">
        <v>1742.1</v>
      </c>
      <c r="C26" s="16">
        <v>1779</v>
      </c>
      <c r="D26" s="16">
        <v>1832</v>
      </c>
      <c r="E26" s="16">
        <v>1877.7</v>
      </c>
      <c r="F26" s="16">
        <v>1930.5</v>
      </c>
      <c r="G26" s="16">
        <v>1962.2</v>
      </c>
      <c r="H26" s="16"/>
      <c r="I26" s="16"/>
      <c r="J26" s="16"/>
      <c r="K26" s="17">
        <f>MAX(B26:J26)</f>
        <v>1962.2</v>
      </c>
    </row>
    <row r="27" spans="1:11" ht="30" customHeight="1" x14ac:dyDescent="0.25">
      <c r="A27" s="9" t="s">
        <v>78</v>
      </c>
      <c r="B27" s="17">
        <f t="shared" ref="B27:J27" si="0">IF(OR(B26="",B25=""),"",B26-B25)</f>
        <v>26.099999999999909</v>
      </c>
      <c r="C27" s="17">
        <f t="shared" si="0"/>
        <v>36.900000000000091</v>
      </c>
      <c r="D27" s="17">
        <f t="shared" si="0"/>
        <v>53</v>
      </c>
      <c r="E27" s="17">
        <f t="shared" si="0"/>
        <v>45.700000000000045</v>
      </c>
      <c r="F27" s="17">
        <f t="shared" si="0"/>
        <v>52.799999999999955</v>
      </c>
      <c r="G27" s="17">
        <f t="shared" si="0"/>
        <v>31.700000000000045</v>
      </c>
      <c r="H27" s="17" t="str">
        <f t="shared" si="0"/>
        <v/>
      </c>
      <c r="I27" s="17" t="str">
        <f t="shared" si="0"/>
        <v/>
      </c>
      <c r="J27" s="17" t="str">
        <f t="shared" si="0"/>
        <v/>
      </c>
      <c r="K27" s="17">
        <f>SUM(B27:J27)</f>
        <v>246.20000000000005</v>
      </c>
    </row>
    <row r="28" spans="1:11" ht="29.1" customHeight="1" x14ac:dyDescent="0.25">
      <c r="A28" s="9" t="s">
        <v>79</v>
      </c>
      <c r="B28" s="18">
        <v>13</v>
      </c>
      <c r="C28" s="18">
        <v>15</v>
      </c>
      <c r="D28" s="18">
        <v>28</v>
      </c>
      <c r="E28" s="18">
        <v>36</v>
      </c>
      <c r="F28" s="18">
        <v>20</v>
      </c>
      <c r="G28" s="18">
        <v>18</v>
      </c>
      <c r="H28" s="18"/>
      <c r="I28" s="18"/>
      <c r="J28" s="18"/>
      <c r="K28" s="19">
        <f>SUM(B28:J28)</f>
        <v>130</v>
      </c>
    </row>
    <row r="29" spans="1:11" ht="27.95" customHeight="1" x14ac:dyDescent="0.25">
      <c r="A29" s="9" t="s">
        <v>80</v>
      </c>
      <c r="B29" s="18">
        <f>SUM(B27)*15</f>
        <v>391.49999999999864</v>
      </c>
      <c r="C29" s="18">
        <f t="shared" ref="C29:J29" si="1">SUM(C27)*15</f>
        <v>553.50000000000136</v>
      </c>
      <c r="D29" s="18">
        <f t="shared" si="1"/>
        <v>795</v>
      </c>
      <c r="E29" s="18">
        <f t="shared" si="1"/>
        <v>685.50000000000068</v>
      </c>
      <c r="F29" s="18">
        <f t="shared" si="1"/>
        <v>791.99999999999932</v>
      </c>
      <c r="G29" s="18">
        <f t="shared" si="1"/>
        <v>475.50000000000068</v>
      </c>
      <c r="H29" s="18">
        <f t="shared" si="1"/>
        <v>0</v>
      </c>
      <c r="I29" s="18">
        <f t="shared" si="1"/>
        <v>0</v>
      </c>
      <c r="J29" s="18">
        <f t="shared" si="1"/>
        <v>0</v>
      </c>
      <c r="K29" s="19">
        <f>SUM(B29:J29)</f>
        <v>3693.0000000000009</v>
      </c>
    </row>
    <row r="31" spans="1:11" ht="21.75" customHeight="1" x14ac:dyDescent="0.25">
      <c r="A31" s="34" t="s">
        <v>81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ht="24" customHeight="1" x14ac:dyDescent="0.25">
      <c r="A32" s="14" t="s">
        <v>82</v>
      </c>
      <c r="B32" s="14" t="s">
        <v>83</v>
      </c>
      <c r="C32" s="14" t="s">
        <v>84</v>
      </c>
      <c r="D32" s="14" t="s">
        <v>85</v>
      </c>
      <c r="E32" s="14" t="s">
        <v>86</v>
      </c>
      <c r="F32" s="42" t="s">
        <v>87</v>
      </c>
      <c r="G32" s="42"/>
      <c r="H32" s="42" t="s">
        <v>88</v>
      </c>
      <c r="I32" s="42"/>
      <c r="J32" s="42"/>
      <c r="K32" s="42"/>
    </row>
    <row r="33" spans="1:11" ht="44.25" customHeight="1" x14ac:dyDescent="0.25">
      <c r="A33" s="20">
        <v>1</v>
      </c>
      <c r="B33" s="11">
        <v>46174</v>
      </c>
      <c r="C33" s="16">
        <v>1742.1</v>
      </c>
      <c r="D33" s="16">
        <v>7805.1</v>
      </c>
      <c r="E33" s="16">
        <v>975.1</v>
      </c>
      <c r="F33" s="39" t="s">
        <v>141</v>
      </c>
      <c r="G33" s="39"/>
      <c r="H33" s="39" t="s">
        <v>187</v>
      </c>
      <c r="I33" s="41"/>
      <c r="J33" s="41"/>
      <c r="K33" s="41"/>
    </row>
    <row r="34" spans="1:11" ht="56.25" customHeight="1" x14ac:dyDescent="0.25">
      <c r="A34" s="20">
        <v>2</v>
      </c>
      <c r="B34" s="11">
        <v>46177</v>
      </c>
      <c r="C34" s="16">
        <v>1762.3</v>
      </c>
      <c r="D34" s="16">
        <v>7825.3</v>
      </c>
      <c r="E34" s="16">
        <v>995.3</v>
      </c>
      <c r="F34" s="39" t="s">
        <v>142</v>
      </c>
      <c r="G34" s="39"/>
      <c r="H34" s="39" t="s">
        <v>188</v>
      </c>
      <c r="I34" s="41"/>
      <c r="J34" s="41"/>
      <c r="K34" s="41"/>
    </row>
    <row r="35" spans="1:11" ht="25.5" customHeight="1" x14ac:dyDescent="0.25">
      <c r="A35" s="20">
        <v>3</v>
      </c>
      <c r="B35" s="11">
        <v>46183</v>
      </c>
      <c r="C35" s="16">
        <v>1787.3</v>
      </c>
      <c r="D35" s="16">
        <v>7850.3</v>
      </c>
      <c r="E35" s="16">
        <v>1020.3</v>
      </c>
      <c r="F35" s="39" t="s">
        <v>141</v>
      </c>
      <c r="G35" s="39"/>
      <c r="H35" s="39" t="s">
        <v>148</v>
      </c>
      <c r="I35" s="41"/>
      <c r="J35" s="41"/>
      <c r="K35" s="41"/>
    </row>
    <row r="36" spans="1:11" ht="108.75" customHeight="1" x14ac:dyDescent="0.25">
      <c r="A36" s="20">
        <v>4</v>
      </c>
      <c r="B36" s="11">
        <v>46186</v>
      </c>
      <c r="C36" s="16">
        <v>1812.3</v>
      </c>
      <c r="D36" s="16">
        <v>7875.3</v>
      </c>
      <c r="E36" s="16">
        <v>1045.3</v>
      </c>
      <c r="F36" s="39" t="s">
        <v>149</v>
      </c>
      <c r="G36" s="39"/>
      <c r="H36" s="39" t="s">
        <v>150</v>
      </c>
      <c r="I36" s="39"/>
      <c r="J36" s="39"/>
      <c r="K36" s="39"/>
    </row>
    <row r="37" spans="1:11" ht="25.5" customHeight="1" x14ac:dyDescent="0.25">
      <c r="A37" s="20">
        <v>5</v>
      </c>
      <c r="B37" s="11">
        <v>46189</v>
      </c>
      <c r="C37" s="16">
        <v>1837.3</v>
      </c>
      <c r="D37" s="16">
        <v>7900.3</v>
      </c>
      <c r="E37" s="16">
        <v>1070.3</v>
      </c>
      <c r="F37" s="39" t="s">
        <v>141</v>
      </c>
      <c r="G37" s="39"/>
      <c r="H37" s="39" t="s">
        <v>148</v>
      </c>
      <c r="I37" s="39"/>
      <c r="J37" s="39"/>
      <c r="K37" s="39"/>
    </row>
    <row r="38" spans="1:11" ht="51" customHeight="1" x14ac:dyDescent="0.25">
      <c r="A38" s="20">
        <v>6</v>
      </c>
      <c r="B38" s="11">
        <v>46191</v>
      </c>
      <c r="C38" s="16">
        <v>1852.3</v>
      </c>
      <c r="D38" s="16">
        <v>7915.3</v>
      </c>
      <c r="E38" s="16">
        <v>1085.3</v>
      </c>
      <c r="F38" s="39" t="s">
        <v>142</v>
      </c>
      <c r="G38" s="39"/>
      <c r="H38" s="39" t="s">
        <v>151</v>
      </c>
      <c r="I38" s="39"/>
      <c r="J38" s="39"/>
      <c r="K38" s="39"/>
    </row>
    <row r="39" spans="1:11" ht="25.5" customHeight="1" x14ac:dyDescent="0.25">
      <c r="A39" s="20">
        <v>7</v>
      </c>
      <c r="B39" s="11">
        <v>46194</v>
      </c>
      <c r="C39" s="16">
        <v>1869.9</v>
      </c>
      <c r="D39" s="16">
        <v>7932.9</v>
      </c>
      <c r="E39" s="16">
        <v>1002.9</v>
      </c>
      <c r="F39" s="39" t="s">
        <v>152</v>
      </c>
      <c r="G39" s="39"/>
      <c r="H39" s="39" t="s">
        <v>153</v>
      </c>
      <c r="I39" s="39"/>
      <c r="J39" s="39"/>
      <c r="K39" s="39"/>
    </row>
    <row r="40" spans="1:11" ht="25.5" customHeight="1" x14ac:dyDescent="0.25">
      <c r="A40" s="20">
        <v>8</v>
      </c>
      <c r="B40" s="11">
        <v>46195</v>
      </c>
      <c r="C40" s="16">
        <v>1877.3</v>
      </c>
      <c r="D40" s="16">
        <v>7940.3</v>
      </c>
      <c r="E40" s="16">
        <v>1110.3</v>
      </c>
      <c r="F40" s="39" t="s">
        <v>141</v>
      </c>
      <c r="G40" s="39"/>
      <c r="H40" s="39" t="s">
        <v>148</v>
      </c>
      <c r="I40" s="39"/>
      <c r="J40" s="39"/>
      <c r="K40" s="39"/>
    </row>
    <row r="41" spans="1:11" ht="25.5" customHeight="1" x14ac:dyDescent="0.25">
      <c r="A41" s="20">
        <v>9</v>
      </c>
      <c r="B41" s="11">
        <v>46197</v>
      </c>
      <c r="C41" s="16">
        <v>1893.2</v>
      </c>
      <c r="D41" s="16">
        <v>7956.2</v>
      </c>
      <c r="E41" s="16">
        <v>1126.2</v>
      </c>
      <c r="F41" s="39" t="s">
        <v>158</v>
      </c>
      <c r="G41" s="39"/>
      <c r="H41" s="39" t="s">
        <v>155</v>
      </c>
      <c r="I41" s="39"/>
      <c r="J41" s="39"/>
      <c r="K41" s="39"/>
    </row>
    <row r="42" spans="1:11" ht="96.75" customHeight="1" x14ac:dyDescent="0.25">
      <c r="A42" s="20">
        <v>10</v>
      </c>
      <c r="B42" s="11">
        <v>46199</v>
      </c>
      <c r="C42" s="16">
        <v>1909.6</v>
      </c>
      <c r="D42" s="16">
        <v>7972.6</v>
      </c>
      <c r="E42" s="16">
        <v>1142.5999999999999</v>
      </c>
      <c r="F42" s="39" t="s">
        <v>149</v>
      </c>
      <c r="G42" s="39"/>
      <c r="H42" s="39" t="s">
        <v>154</v>
      </c>
      <c r="I42" s="39"/>
      <c r="J42" s="39"/>
      <c r="K42" s="39"/>
    </row>
    <row r="43" spans="1:11" ht="42" customHeight="1" x14ac:dyDescent="0.25">
      <c r="A43" s="20">
        <v>11</v>
      </c>
      <c r="B43" s="11">
        <v>46200</v>
      </c>
      <c r="C43" s="16">
        <v>1915.2</v>
      </c>
      <c r="D43" s="16">
        <v>7978.2</v>
      </c>
      <c r="E43" s="16">
        <v>1148.2</v>
      </c>
      <c r="F43" s="39" t="s">
        <v>152</v>
      </c>
      <c r="G43" s="39"/>
      <c r="H43" s="39" t="s">
        <v>156</v>
      </c>
      <c r="I43" s="39"/>
      <c r="J43" s="39"/>
      <c r="K43" s="39"/>
    </row>
    <row r="44" spans="1:11" ht="25.5" customHeight="1" x14ac:dyDescent="0.25">
      <c r="A44" s="20">
        <v>12</v>
      </c>
      <c r="B44" s="11">
        <v>46201</v>
      </c>
      <c r="C44" s="16">
        <v>1922.6</v>
      </c>
      <c r="D44" s="16">
        <v>7985.6</v>
      </c>
      <c r="E44" s="16">
        <v>1155.5999999999999</v>
      </c>
      <c r="F44" s="39" t="s">
        <v>152</v>
      </c>
      <c r="G44" s="39"/>
      <c r="H44" s="39" t="s">
        <v>157</v>
      </c>
      <c r="I44" s="39"/>
      <c r="J44" s="39"/>
      <c r="K44" s="39"/>
    </row>
    <row r="45" spans="1:11" ht="25.5" customHeight="1" x14ac:dyDescent="0.25">
      <c r="A45" s="20">
        <v>13</v>
      </c>
      <c r="B45" s="11">
        <v>46204</v>
      </c>
      <c r="C45" s="16">
        <v>1936.1</v>
      </c>
      <c r="D45" s="16">
        <v>7999.1</v>
      </c>
      <c r="E45" s="16">
        <v>1169.0999999999999</v>
      </c>
      <c r="F45" s="39" t="s">
        <v>152</v>
      </c>
      <c r="G45" s="39"/>
      <c r="H45" s="39" t="s">
        <v>185</v>
      </c>
      <c r="I45" s="39"/>
      <c r="J45" s="39"/>
      <c r="K45" s="39"/>
    </row>
    <row r="46" spans="1:11" ht="25.5" customHeight="1" x14ac:dyDescent="0.25">
      <c r="A46" s="20">
        <v>14</v>
      </c>
      <c r="B46" s="11">
        <v>46205</v>
      </c>
      <c r="C46" s="16">
        <v>1940.7</v>
      </c>
      <c r="D46" s="16">
        <v>8003.7</v>
      </c>
      <c r="E46" s="16">
        <v>1173.7</v>
      </c>
      <c r="F46" s="39" t="s">
        <v>141</v>
      </c>
      <c r="G46" s="39"/>
      <c r="H46" s="39" t="s">
        <v>186</v>
      </c>
      <c r="I46" s="39"/>
      <c r="J46" s="39"/>
      <c r="K46" s="39"/>
    </row>
    <row r="47" spans="1:11" ht="25.5" customHeight="1" x14ac:dyDescent="0.25">
      <c r="A47" s="20">
        <v>15</v>
      </c>
      <c r="B47" s="11"/>
      <c r="C47" s="16"/>
      <c r="D47" s="16"/>
      <c r="E47" s="16"/>
      <c r="F47" s="39"/>
      <c r="G47" s="39"/>
      <c r="H47" s="39"/>
      <c r="I47" s="39"/>
      <c r="J47" s="39"/>
      <c r="K47" s="39"/>
    </row>
    <row r="48" spans="1:11" ht="25.5" customHeight="1" x14ac:dyDescent="0.25">
      <c r="A48" s="20">
        <v>16</v>
      </c>
      <c r="B48" s="11"/>
      <c r="C48" s="16"/>
      <c r="D48" s="16"/>
      <c r="E48" s="16"/>
      <c r="F48" s="39"/>
      <c r="G48" s="39"/>
      <c r="H48" s="39"/>
      <c r="I48" s="39"/>
      <c r="J48" s="39"/>
      <c r="K48" s="39"/>
    </row>
    <row r="49" spans="1:11" ht="25.5" customHeight="1" x14ac:dyDescent="0.25">
      <c r="A49" s="20">
        <v>17</v>
      </c>
      <c r="B49" s="11"/>
      <c r="C49" s="16"/>
      <c r="D49" s="16"/>
      <c r="E49" s="16"/>
      <c r="F49" s="39"/>
      <c r="G49" s="39"/>
      <c r="H49" s="39"/>
      <c r="I49" s="39"/>
      <c r="J49" s="39"/>
      <c r="K49" s="39"/>
    </row>
    <row r="50" spans="1:11" ht="25.5" customHeight="1" x14ac:dyDescent="0.25">
      <c r="A50" s="20">
        <v>18</v>
      </c>
      <c r="B50" s="11"/>
      <c r="C50" s="16"/>
      <c r="D50" s="16"/>
      <c r="E50" s="16"/>
      <c r="F50" s="39"/>
      <c r="G50" s="40"/>
      <c r="H50" s="39"/>
      <c r="I50" s="41"/>
      <c r="J50" s="41"/>
      <c r="K50" s="41"/>
    </row>
    <row r="51" spans="1:11" ht="25.5" customHeight="1" x14ac:dyDescent="0.25">
      <c r="A51" s="20">
        <v>19</v>
      </c>
      <c r="B51" s="11"/>
      <c r="C51" s="16"/>
      <c r="D51" s="16"/>
      <c r="E51" s="16"/>
      <c r="F51" s="39"/>
      <c r="G51" s="39"/>
      <c r="H51" s="39"/>
      <c r="I51" s="39"/>
      <c r="J51" s="39"/>
      <c r="K51" s="39"/>
    </row>
    <row r="53" spans="1:11" ht="1.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ht="36" customHeight="1" x14ac:dyDescent="0.25">
      <c r="A54" s="30" t="s">
        <v>31</v>
      </c>
      <c r="B54" s="30"/>
      <c r="C54" s="30"/>
      <c r="D54" s="30"/>
      <c r="E54" s="30"/>
      <c r="F54" s="30" t="s">
        <v>32</v>
      </c>
      <c r="G54" s="30"/>
      <c r="H54" s="30"/>
      <c r="I54" s="30"/>
      <c r="J54" s="30"/>
      <c r="K54" s="30"/>
    </row>
    <row r="55" spans="1:11" ht="13.5" customHeight="1" x14ac:dyDescent="0.25">
      <c r="A55" s="31" t="s">
        <v>135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</row>
  </sheetData>
  <mergeCells count="88">
    <mergeCell ref="A1:K1"/>
    <mergeCell ref="A2:K2"/>
    <mergeCell ref="A3:K3"/>
    <mergeCell ref="A4:K4"/>
    <mergeCell ref="A5:K5"/>
    <mergeCell ref="A6:K6"/>
    <mergeCell ref="A7:K7"/>
    <mergeCell ref="D8:F8"/>
    <mergeCell ref="J8:K8"/>
    <mergeCell ref="D9:F9"/>
    <mergeCell ref="H9:I9"/>
    <mergeCell ref="A10:C10"/>
    <mergeCell ref="D10:E10"/>
    <mergeCell ref="G10:I10"/>
    <mergeCell ref="J10:K10"/>
    <mergeCell ref="A12:K12"/>
    <mergeCell ref="B13:E13"/>
    <mergeCell ref="F13:I13"/>
    <mergeCell ref="J13:K13"/>
    <mergeCell ref="B14:D14"/>
    <mergeCell ref="F14:H14"/>
    <mergeCell ref="J14:K14"/>
    <mergeCell ref="B15:D15"/>
    <mergeCell ref="F15:H15"/>
    <mergeCell ref="J15:K15"/>
    <mergeCell ref="B16:D16"/>
    <mergeCell ref="F16:H16"/>
    <mergeCell ref="J16:K16"/>
    <mergeCell ref="B17:D17"/>
    <mergeCell ref="F17:H17"/>
    <mergeCell ref="J17:K17"/>
    <mergeCell ref="A19:K19"/>
    <mergeCell ref="A20:B20"/>
    <mergeCell ref="C20:D20"/>
    <mergeCell ref="E20:F20"/>
    <mergeCell ref="G20:H20"/>
    <mergeCell ref="J20:K20"/>
    <mergeCell ref="A21:B21"/>
    <mergeCell ref="C21:D21"/>
    <mergeCell ref="E21:F21"/>
    <mergeCell ref="G21:I21"/>
    <mergeCell ref="J21:K21"/>
    <mergeCell ref="A23:K23"/>
    <mergeCell ref="A31:K31"/>
    <mergeCell ref="F32:G32"/>
    <mergeCell ref="H32:K32"/>
    <mergeCell ref="F33:G33"/>
    <mergeCell ref="H33:K33"/>
    <mergeCell ref="F34:G34"/>
    <mergeCell ref="H34:K34"/>
    <mergeCell ref="F35:G35"/>
    <mergeCell ref="H35:K35"/>
    <mergeCell ref="F36:G36"/>
    <mergeCell ref="H36:K36"/>
    <mergeCell ref="F37:G37"/>
    <mergeCell ref="H37:K37"/>
    <mergeCell ref="F38:G38"/>
    <mergeCell ref="H38:K38"/>
    <mergeCell ref="F40:G40"/>
    <mergeCell ref="H40:K40"/>
    <mergeCell ref="F39:G39"/>
    <mergeCell ref="H39:K39"/>
    <mergeCell ref="F41:G41"/>
    <mergeCell ref="H41:K41"/>
    <mergeCell ref="F45:G45"/>
    <mergeCell ref="H45:K45"/>
    <mergeCell ref="F46:G46"/>
    <mergeCell ref="H46:K46"/>
    <mergeCell ref="F42:G42"/>
    <mergeCell ref="H42:K42"/>
    <mergeCell ref="F43:G43"/>
    <mergeCell ref="H43:K43"/>
    <mergeCell ref="F44:G44"/>
    <mergeCell ref="H44:K44"/>
    <mergeCell ref="A54:E54"/>
    <mergeCell ref="F54:K54"/>
    <mergeCell ref="A55:K55"/>
    <mergeCell ref="F50:G50"/>
    <mergeCell ref="H50:K50"/>
    <mergeCell ref="F51:G51"/>
    <mergeCell ref="H51:K51"/>
    <mergeCell ref="A53:K53"/>
    <mergeCell ref="F47:G47"/>
    <mergeCell ref="H47:K47"/>
    <mergeCell ref="F48:G48"/>
    <mergeCell ref="H48:K48"/>
    <mergeCell ref="F49:G49"/>
    <mergeCell ref="H49:K49"/>
  </mergeCells>
  <dataValidations count="2">
    <dataValidation type="list" allowBlank="1" errorTitle="Matrícula inválida" error="Seleccione una matrícula válida" sqref="H8" xr:uid="{00000000-0002-0000-0100-000000000000}">
      <formula1>"HP-1782,HP-1804"</formula1>
      <formula2>0</formula2>
    </dataValidation>
    <dataValidation type="list" allowBlank="1" error="Tipo no válido" sqref="F33:F51" xr:uid="{00000000-0002-0000-0100-000001000000}">
      <formula1>"50 HRS,100 HRS,Pre-vuelo,Diaria,Post-vuelo,Semanal,Especial"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1A2E"/>
    <pageSetUpPr fitToPage="1"/>
  </sheetPr>
  <dimension ref="A1:K92"/>
  <sheetViews>
    <sheetView showGridLines="0" zoomScaleNormal="100" workbookViewId="0">
      <selection activeCell="P9" sqref="P9"/>
    </sheetView>
  </sheetViews>
  <sheetFormatPr baseColWidth="10" defaultColWidth="8.7109375" defaultRowHeight="15" x14ac:dyDescent="0.25"/>
  <cols>
    <col min="1" max="1" width="16" customWidth="1"/>
    <col min="2" max="2" width="11" customWidth="1"/>
    <col min="3" max="4" width="16" customWidth="1"/>
    <col min="5" max="8" width="13" customWidth="1"/>
    <col min="9" max="9" width="10" customWidth="1"/>
    <col min="10" max="10" width="9" customWidth="1"/>
    <col min="11" max="11" width="12" customWidth="1"/>
  </cols>
  <sheetData>
    <row r="1" spans="1:11" ht="99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.9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8" customHeight="1" x14ac:dyDescent="0.2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25.5" customHeight="1" x14ac:dyDescent="0.25">
      <c r="A4" s="37" t="s">
        <v>89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5.75" customHeight="1" x14ac:dyDescent="0.25">
      <c r="A5" s="38" t="s">
        <v>138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3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18" customHeight="1" x14ac:dyDescent="0.25">
      <c r="A7" s="63" t="s">
        <v>90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9" spans="1:11" ht="21.75" customHeight="1" x14ac:dyDescent="0.25">
      <c r="A9" s="62" t="s">
        <v>91</v>
      </c>
      <c r="B9" s="62"/>
      <c r="C9" s="62"/>
      <c r="D9" s="62"/>
      <c r="E9" s="62"/>
      <c r="F9" s="62"/>
      <c r="G9" s="62"/>
      <c r="H9" s="62"/>
      <c r="I9" s="62"/>
      <c r="J9" s="62"/>
      <c r="K9" s="62"/>
    </row>
    <row r="10" spans="1:11" ht="21.75" customHeight="1" x14ac:dyDescent="0.25">
      <c r="A10" s="9" t="s">
        <v>92</v>
      </c>
      <c r="B10" s="57"/>
      <c r="C10" s="57"/>
      <c r="D10" s="9" t="s">
        <v>93</v>
      </c>
      <c r="E10" s="16"/>
      <c r="F10" s="9" t="s">
        <v>94</v>
      </c>
      <c r="G10" s="16"/>
      <c r="H10" s="9" t="s">
        <v>95</v>
      </c>
      <c r="I10" s="16"/>
      <c r="J10" s="9" t="s">
        <v>96</v>
      </c>
      <c r="K10" s="10"/>
    </row>
    <row r="11" spans="1:11" ht="45" customHeight="1" x14ac:dyDescent="0.25">
      <c r="A11" s="9" t="s">
        <v>97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11" ht="54.75" customHeight="1" x14ac:dyDescent="0.25">
      <c r="A12" s="9" t="s">
        <v>98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1" ht="18" customHeight="1" x14ac:dyDescent="0.25">
      <c r="A13" s="60" t="s">
        <v>99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</row>
    <row r="14" spans="1:11" ht="18" customHeight="1" x14ac:dyDescent="0.25">
      <c r="A14" s="21" t="s">
        <v>82</v>
      </c>
      <c r="B14" s="61" t="s">
        <v>100</v>
      </c>
      <c r="C14" s="61"/>
      <c r="D14" s="61"/>
      <c r="E14" s="61"/>
      <c r="F14" s="61" t="s">
        <v>101</v>
      </c>
      <c r="G14" s="61"/>
      <c r="H14" s="21" t="s">
        <v>102</v>
      </c>
      <c r="I14" s="61" t="s">
        <v>103</v>
      </c>
      <c r="J14" s="61"/>
      <c r="K14" s="61"/>
    </row>
    <row r="15" spans="1:11" ht="18" customHeight="1" x14ac:dyDescent="0.25">
      <c r="A15" s="22">
        <v>1</v>
      </c>
      <c r="B15" s="39"/>
      <c r="C15" s="39"/>
      <c r="D15" s="39"/>
      <c r="E15" s="39"/>
      <c r="F15" s="39"/>
      <c r="G15" s="39"/>
      <c r="H15" s="18"/>
      <c r="I15" s="39"/>
      <c r="J15" s="39"/>
      <c r="K15" s="39"/>
    </row>
    <row r="16" spans="1:11" ht="18" customHeight="1" x14ac:dyDescent="0.25">
      <c r="A16" s="22">
        <v>2</v>
      </c>
      <c r="B16" s="39"/>
      <c r="C16" s="39"/>
      <c r="D16" s="39"/>
      <c r="E16" s="39"/>
      <c r="F16" s="39"/>
      <c r="G16" s="39"/>
      <c r="H16" s="18"/>
      <c r="I16" s="39"/>
      <c r="J16" s="39"/>
      <c r="K16" s="39"/>
    </row>
    <row r="17" spans="1:11" ht="18" customHeight="1" x14ac:dyDescent="0.25">
      <c r="A17" s="22">
        <v>3</v>
      </c>
      <c r="B17" s="39"/>
      <c r="C17" s="39"/>
      <c r="D17" s="39"/>
      <c r="E17" s="39"/>
      <c r="F17" s="39"/>
      <c r="G17" s="39"/>
      <c r="H17" s="18"/>
      <c r="I17" s="39"/>
      <c r="J17" s="39"/>
      <c r="K17" s="39"/>
    </row>
    <row r="19" spans="1:11" ht="21.75" customHeight="1" x14ac:dyDescent="0.25">
      <c r="A19" s="62" t="s">
        <v>104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</row>
    <row r="20" spans="1:11" ht="21.75" customHeight="1" x14ac:dyDescent="0.25">
      <c r="A20" s="9" t="s">
        <v>92</v>
      </c>
      <c r="B20" s="57"/>
      <c r="C20" s="57"/>
      <c r="D20" s="9" t="s">
        <v>93</v>
      </c>
      <c r="E20" s="16"/>
      <c r="F20" s="9" t="s">
        <v>94</v>
      </c>
      <c r="G20" s="16"/>
      <c r="H20" s="9" t="s">
        <v>95</v>
      </c>
      <c r="I20" s="16"/>
      <c r="J20" s="9" t="s">
        <v>96</v>
      </c>
      <c r="K20" s="10"/>
    </row>
    <row r="21" spans="1:11" ht="45" customHeight="1" x14ac:dyDescent="0.25">
      <c r="A21" s="9" t="s">
        <v>97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ht="54.75" customHeight="1" x14ac:dyDescent="0.25">
      <c r="A22" s="9" t="s">
        <v>98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ht="18" customHeight="1" x14ac:dyDescent="0.25">
      <c r="A23" s="60" t="s">
        <v>99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</row>
    <row r="24" spans="1:11" ht="18" customHeight="1" x14ac:dyDescent="0.25">
      <c r="A24" s="21" t="s">
        <v>82</v>
      </c>
      <c r="B24" s="61" t="s">
        <v>100</v>
      </c>
      <c r="C24" s="61"/>
      <c r="D24" s="61"/>
      <c r="E24" s="61"/>
      <c r="F24" s="61" t="s">
        <v>101</v>
      </c>
      <c r="G24" s="61"/>
      <c r="H24" s="21" t="s">
        <v>102</v>
      </c>
      <c r="I24" s="61" t="s">
        <v>103</v>
      </c>
      <c r="J24" s="61"/>
      <c r="K24" s="61"/>
    </row>
    <row r="25" spans="1:11" ht="18" customHeight="1" x14ac:dyDescent="0.25">
      <c r="A25" s="22">
        <v>1</v>
      </c>
      <c r="B25" s="39"/>
      <c r="C25" s="39"/>
      <c r="D25" s="39"/>
      <c r="E25" s="39"/>
      <c r="F25" s="39"/>
      <c r="G25" s="39"/>
      <c r="H25" s="18"/>
      <c r="I25" s="39"/>
      <c r="J25" s="39"/>
      <c r="K25" s="39"/>
    </row>
    <row r="26" spans="1:11" ht="18" customHeight="1" x14ac:dyDescent="0.25">
      <c r="A26" s="22">
        <v>2</v>
      </c>
      <c r="B26" s="39"/>
      <c r="C26" s="39"/>
      <c r="D26" s="39"/>
      <c r="E26" s="39"/>
      <c r="F26" s="39"/>
      <c r="G26" s="39"/>
      <c r="H26" s="18"/>
      <c r="I26" s="39"/>
      <c r="J26" s="39"/>
      <c r="K26" s="39"/>
    </row>
    <row r="27" spans="1:11" ht="18" customHeight="1" x14ac:dyDescent="0.25">
      <c r="A27" s="22">
        <v>3</v>
      </c>
      <c r="B27" s="39"/>
      <c r="C27" s="39"/>
      <c r="D27" s="39"/>
      <c r="E27" s="39"/>
      <c r="F27" s="39"/>
      <c r="G27" s="39"/>
      <c r="H27" s="18"/>
      <c r="I27" s="39"/>
      <c r="J27" s="39"/>
      <c r="K27" s="39"/>
    </row>
    <row r="29" spans="1:11" ht="21.75" customHeight="1" x14ac:dyDescent="0.25">
      <c r="A29" s="62" t="s">
        <v>105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</row>
    <row r="30" spans="1:11" ht="21.75" customHeight="1" x14ac:dyDescent="0.25">
      <c r="A30" s="9" t="s">
        <v>92</v>
      </c>
      <c r="B30" s="57"/>
      <c r="C30" s="57"/>
      <c r="D30" s="9" t="s">
        <v>93</v>
      </c>
      <c r="E30" s="16"/>
      <c r="F30" s="9" t="s">
        <v>94</v>
      </c>
      <c r="G30" s="16"/>
      <c r="H30" s="9" t="s">
        <v>95</v>
      </c>
      <c r="I30" s="16"/>
      <c r="J30" s="9" t="s">
        <v>96</v>
      </c>
      <c r="K30" s="10"/>
    </row>
    <row r="31" spans="1:11" ht="45" customHeight="1" x14ac:dyDescent="0.25">
      <c r="A31" s="9" t="s">
        <v>97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 spans="1:11" ht="54.75" customHeight="1" x14ac:dyDescent="0.25">
      <c r="A32" s="9" t="s">
        <v>98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</row>
    <row r="33" spans="1:11" ht="18" customHeight="1" x14ac:dyDescent="0.25">
      <c r="A33" s="60" t="s">
        <v>99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</row>
    <row r="34" spans="1:11" ht="18" customHeight="1" x14ac:dyDescent="0.25">
      <c r="A34" s="21" t="s">
        <v>82</v>
      </c>
      <c r="B34" s="61" t="s">
        <v>100</v>
      </c>
      <c r="C34" s="61"/>
      <c r="D34" s="61"/>
      <c r="E34" s="61"/>
      <c r="F34" s="61" t="s">
        <v>101</v>
      </c>
      <c r="G34" s="61"/>
      <c r="H34" s="21" t="s">
        <v>102</v>
      </c>
      <c r="I34" s="61" t="s">
        <v>103</v>
      </c>
      <c r="J34" s="61"/>
      <c r="K34" s="61"/>
    </row>
    <row r="35" spans="1:11" ht="18" customHeight="1" x14ac:dyDescent="0.25">
      <c r="A35" s="22">
        <v>1</v>
      </c>
      <c r="B35" s="39"/>
      <c r="C35" s="39"/>
      <c r="D35" s="39"/>
      <c r="E35" s="39"/>
      <c r="F35" s="39"/>
      <c r="G35" s="39"/>
      <c r="H35" s="18"/>
      <c r="I35" s="39"/>
      <c r="J35" s="39"/>
      <c r="K35" s="39"/>
    </row>
    <row r="36" spans="1:11" ht="18" customHeight="1" x14ac:dyDescent="0.25">
      <c r="A36" s="22">
        <v>2</v>
      </c>
      <c r="B36" s="39"/>
      <c r="C36" s="39"/>
      <c r="D36" s="39"/>
      <c r="E36" s="39"/>
      <c r="F36" s="39"/>
      <c r="G36" s="39"/>
      <c r="H36" s="18"/>
      <c r="I36" s="39"/>
      <c r="J36" s="39"/>
      <c r="K36" s="39"/>
    </row>
    <row r="37" spans="1:11" ht="18" customHeight="1" x14ac:dyDescent="0.25">
      <c r="A37" s="22">
        <v>3</v>
      </c>
      <c r="B37" s="39"/>
      <c r="C37" s="39"/>
      <c r="D37" s="39"/>
      <c r="E37" s="39"/>
      <c r="F37" s="39"/>
      <c r="G37" s="39"/>
      <c r="H37" s="18"/>
      <c r="I37" s="39"/>
      <c r="J37" s="39"/>
      <c r="K37" s="39"/>
    </row>
    <row r="39" spans="1:11" ht="21.75" customHeight="1" x14ac:dyDescent="0.25">
      <c r="A39" s="62" t="s">
        <v>106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</row>
    <row r="40" spans="1:11" ht="21.75" customHeight="1" x14ac:dyDescent="0.25">
      <c r="A40" s="9" t="s">
        <v>92</v>
      </c>
      <c r="B40" s="57"/>
      <c r="C40" s="57"/>
      <c r="D40" s="9" t="s">
        <v>93</v>
      </c>
      <c r="E40" s="16"/>
      <c r="F40" s="9" t="s">
        <v>94</v>
      </c>
      <c r="G40" s="16"/>
      <c r="H40" s="9" t="s">
        <v>95</v>
      </c>
      <c r="I40" s="16"/>
      <c r="J40" s="9" t="s">
        <v>96</v>
      </c>
      <c r="K40" s="10"/>
    </row>
    <row r="41" spans="1:11" ht="45" customHeight="1" x14ac:dyDescent="0.25">
      <c r="A41" s="9" t="s">
        <v>97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</row>
    <row r="42" spans="1:11" ht="54.75" customHeight="1" x14ac:dyDescent="0.25">
      <c r="A42" s="9" t="s">
        <v>98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</row>
    <row r="43" spans="1:11" ht="18" customHeight="1" x14ac:dyDescent="0.25">
      <c r="A43" s="60" t="s">
        <v>99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ht="18" customHeight="1" x14ac:dyDescent="0.25">
      <c r="A44" s="21" t="s">
        <v>82</v>
      </c>
      <c r="B44" s="61" t="s">
        <v>100</v>
      </c>
      <c r="C44" s="61"/>
      <c r="D44" s="61"/>
      <c r="E44" s="61"/>
      <c r="F44" s="61" t="s">
        <v>101</v>
      </c>
      <c r="G44" s="61"/>
      <c r="H44" s="21" t="s">
        <v>102</v>
      </c>
      <c r="I44" s="61" t="s">
        <v>103</v>
      </c>
      <c r="J44" s="61"/>
      <c r="K44" s="61"/>
    </row>
    <row r="45" spans="1:11" ht="18" customHeight="1" x14ac:dyDescent="0.25">
      <c r="A45" s="22">
        <v>1</v>
      </c>
      <c r="B45" s="39"/>
      <c r="C45" s="39"/>
      <c r="D45" s="39"/>
      <c r="E45" s="39"/>
      <c r="F45" s="39"/>
      <c r="G45" s="39"/>
      <c r="H45" s="18"/>
      <c r="I45" s="39"/>
      <c r="J45" s="39"/>
      <c r="K45" s="39"/>
    </row>
    <row r="46" spans="1:11" ht="18" customHeight="1" x14ac:dyDescent="0.25">
      <c r="A46" s="22">
        <v>2</v>
      </c>
      <c r="B46" s="39"/>
      <c r="C46" s="39"/>
      <c r="D46" s="39"/>
      <c r="E46" s="39"/>
      <c r="F46" s="39"/>
      <c r="G46" s="39"/>
      <c r="H46" s="18"/>
      <c r="I46" s="39"/>
      <c r="J46" s="39"/>
      <c r="K46" s="39"/>
    </row>
    <row r="47" spans="1:11" ht="18" customHeight="1" x14ac:dyDescent="0.25">
      <c r="A47" s="22">
        <v>3</v>
      </c>
      <c r="B47" s="39"/>
      <c r="C47" s="39"/>
      <c r="D47" s="39"/>
      <c r="E47" s="39"/>
      <c r="F47" s="39"/>
      <c r="G47" s="39"/>
      <c r="H47" s="18"/>
      <c r="I47" s="39"/>
      <c r="J47" s="39"/>
      <c r="K47" s="39"/>
    </row>
    <row r="49" spans="1:11" ht="21.75" customHeight="1" x14ac:dyDescent="0.25">
      <c r="A49" s="62" t="s">
        <v>107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</row>
    <row r="50" spans="1:11" ht="21.75" customHeight="1" x14ac:dyDescent="0.25">
      <c r="A50" s="9" t="s">
        <v>92</v>
      </c>
      <c r="B50" s="57"/>
      <c r="C50" s="57"/>
      <c r="D50" s="9" t="s">
        <v>93</v>
      </c>
      <c r="E50" s="16"/>
      <c r="F50" s="9" t="s">
        <v>94</v>
      </c>
      <c r="G50" s="16"/>
      <c r="H50" s="9" t="s">
        <v>95</v>
      </c>
      <c r="I50" s="16"/>
      <c r="J50" s="9" t="s">
        <v>96</v>
      </c>
      <c r="K50" s="10"/>
    </row>
    <row r="51" spans="1:11" ht="45" customHeight="1" x14ac:dyDescent="0.25">
      <c r="A51" s="9" t="s">
        <v>97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 spans="1:11" ht="54.75" customHeight="1" x14ac:dyDescent="0.25">
      <c r="A52" s="9" t="s">
        <v>98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 ht="18" customHeight="1" x14ac:dyDescent="0.25">
      <c r="A53" s="60" t="s">
        <v>99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</row>
    <row r="54" spans="1:11" ht="18" customHeight="1" x14ac:dyDescent="0.25">
      <c r="A54" s="21" t="s">
        <v>82</v>
      </c>
      <c r="B54" s="61" t="s">
        <v>100</v>
      </c>
      <c r="C54" s="61"/>
      <c r="D54" s="61"/>
      <c r="E54" s="61"/>
      <c r="F54" s="61" t="s">
        <v>101</v>
      </c>
      <c r="G54" s="61"/>
      <c r="H54" s="21" t="s">
        <v>102</v>
      </c>
      <c r="I54" s="61" t="s">
        <v>103</v>
      </c>
      <c r="J54" s="61"/>
      <c r="K54" s="61"/>
    </row>
    <row r="55" spans="1:11" ht="18" customHeight="1" x14ac:dyDescent="0.25">
      <c r="A55" s="22">
        <v>1</v>
      </c>
      <c r="B55" s="39"/>
      <c r="C55" s="39"/>
      <c r="D55" s="39"/>
      <c r="E55" s="39"/>
      <c r="F55" s="39"/>
      <c r="G55" s="39"/>
      <c r="H55" s="18"/>
      <c r="I55" s="39"/>
      <c r="J55" s="39"/>
      <c r="K55" s="39"/>
    </row>
    <row r="56" spans="1:11" ht="18" customHeight="1" x14ac:dyDescent="0.25">
      <c r="A56" s="22">
        <v>2</v>
      </c>
      <c r="B56" s="39"/>
      <c r="C56" s="39"/>
      <c r="D56" s="39"/>
      <c r="E56" s="39"/>
      <c r="F56" s="39"/>
      <c r="G56" s="39"/>
      <c r="H56" s="18"/>
      <c r="I56" s="39"/>
      <c r="J56" s="39"/>
      <c r="K56" s="39"/>
    </row>
    <row r="57" spans="1:11" ht="18" customHeight="1" x14ac:dyDescent="0.25">
      <c r="A57" s="22">
        <v>3</v>
      </c>
      <c r="B57" s="39"/>
      <c r="C57" s="39"/>
      <c r="D57" s="39"/>
      <c r="E57" s="39"/>
      <c r="F57" s="39"/>
      <c r="G57" s="39"/>
      <c r="H57" s="18"/>
      <c r="I57" s="39"/>
      <c r="J57" s="39"/>
      <c r="K57" s="39"/>
    </row>
    <row r="59" spans="1:11" ht="21.75" customHeight="1" x14ac:dyDescent="0.25">
      <c r="A59" s="62" t="s">
        <v>108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</row>
    <row r="60" spans="1:11" ht="21.75" customHeight="1" x14ac:dyDescent="0.25">
      <c r="A60" s="9" t="s">
        <v>92</v>
      </c>
      <c r="B60" s="57"/>
      <c r="C60" s="57"/>
      <c r="D60" s="9" t="s">
        <v>93</v>
      </c>
      <c r="E60" s="16"/>
      <c r="F60" s="9" t="s">
        <v>94</v>
      </c>
      <c r="G60" s="16"/>
      <c r="H60" s="9" t="s">
        <v>95</v>
      </c>
      <c r="I60" s="16"/>
      <c r="J60" s="9" t="s">
        <v>96</v>
      </c>
      <c r="K60" s="10"/>
    </row>
    <row r="61" spans="1:11" ht="45" customHeight="1" x14ac:dyDescent="0.25">
      <c r="A61" s="9" t="s">
        <v>97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 ht="54.75" customHeight="1" x14ac:dyDescent="0.25">
      <c r="A62" s="9" t="s">
        <v>98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 spans="1:11" ht="18" customHeight="1" x14ac:dyDescent="0.25">
      <c r="A63" s="60" t="s">
        <v>99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</row>
    <row r="64" spans="1:11" ht="18" customHeight="1" x14ac:dyDescent="0.25">
      <c r="A64" s="21" t="s">
        <v>82</v>
      </c>
      <c r="B64" s="61" t="s">
        <v>100</v>
      </c>
      <c r="C64" s="61"/>
      <c r="D64" s="61"/>
      <c r="E64" s="61"/>
      <c r="F64" s="61" t="s">
        <v>101</v>
      </c>
      <c r="G64" s="61"/>
      <c r="H64" s="21" t="s">
        <v>102</v>
      </c>
      <c r="I64" s="61" t="s">
        <v>103</v>
      </c>
      <c r="J64" s="61"/>
      <c r="K64" s="61"/>
    </row>
    <row r="65" spans="1:11" ht="18" customHeight="1" x14ac:dyDescent="0.25">
      <c r="A65" s="22">
        <v>1</v>
      </c>
      <c r="B65" s="39"/>
      <c r="C65" s="39"/>
      <c r="D65" s="39"/>
      <c r="E65" s="39"/>
      <c r="F65" s="39"/>
      <c r="G65" s="39"/>
      <c r="H65" s="18"/>
      <c r="I65" s="39"/>
      <c r="J65" s="39"/>
      <c r="K65" s="39"/>
    </row>
    <row r="66" spans="1:11" ht="18" customHeight="1" x14ac:dyDescent="0.25">
      <c r="A66" s="22">
        <v>2</v>
      </c>
      <c r="B66" s="39"/>
      <c r="C66" s="39"/>
      <c r="D66" s="39"/>
      <c r="E66" s="39"/>
      <c r="F66" s="39"/>
      <c r="G66" s="39"/>
      <c r="H66" s="18"/>
      <c r="I66" s="39"/>
      <c r="J66" s="39"/>
      <c r="K66" s="39"/>
    </row>
    <row r="67" spans="1:11" ht="18" customHeight="1" x14ac:dyDescent="0.25">
      <c r="A67" s="22">
        <v>3</v>
      </c>
      <c r="B67" s="39"/>
      <c r="C67" s="39"/>
      <c r="D67" s="39"/>
      <c r="E67" s="39"/>
      <c r="F67" s="39"/>
      <c r="G67" s="39"/>
      <c r="H67" s="18"/>
      <c r="I67" s="39"/>
      <c r="J67" s="39"/>
      <c r="K67" s="39"/>
    </row>
    <row r="69" spans="1:11" ht="21.75" customHeight="1" x14ac:dyDescent="0.25">
      <c r="A69" s="62" t="s">
        <v>109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</row>
    <row r="70" spans="1:11" ht="21.75" customHeight="1" x14ac:dyDescent="0.25">
      <c r="A70" s="9" t="s">
        <v>92</v>
      </c>
      <c r="B70" s="57"/>
      <c r="C70" s="57"/>
      <c r="D70" s="9" t="s">
        <v>93</v>
      </c>
      <c r="E70" s="16"/>
      <c r="F70" s="9" t="s">
        <v>94</v>
      </c>
      <c r="G70" s="16"/>
      <c r="H70" s="9" t="s">
        <v>95</v>
      </c>
      <c r="I70" s="16"/>
      <c r="J70" s="9" t="s">
        <v>96</v>
      </c>
      <c r="K70" s="10"/>
    </row>
    <row r="71" spans="1:11" ht="45" customHeight="1" x14ac:dyDescent="0.25">
      <c r="A71" s="9" t="s">
        <v>97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</row>
    <row r="72" spans="1:11" ht="54.75" customHeight="1" x14ac:dyDescent="0.25">
      <c r="A72" s="9" t="s">
        <v>98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</row>
    <row r="73" spans="1:11" ht="18" customHeight="1" x14ac:dyDescent="0.25">
      <c r="A73" s="60" t="s">
        <v>99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</row>
    <row r="74" spans="1:11" ht="18" customHeight="1" x14ac:dyDescent="0.25">
      <c r="A74" s="21" t="s">
        <v>82</v>
      </c>
      <c r="B74" s="61" t="s">
        <v>100</v>
      </c>
      <c r="C74" s="61"/>
      <c r="D74" s="61"/>
      <c r="E74" s="61"/>
      <c r="F74" s="61" t="s">
        <v>101</v>
      </c>
      <c r="G74" s="61"/>
      <c r="H74" s="21" t="s">
        <v>102</v>
      </c>
      <c r="I74" s="61" t="s">
        <v>103</v>
      </c>
      <c r="J74" s="61"/>
      <c r="K74" s="61"/>
    </row>
    <row r="75" spans="1:11" ht="18" customHeight="1" x14ac:dyDescent="0.25">
      <c r="A75" s="22">
        <v>1</v>
      </c>
      <c r="B75" s="39"/>
      <c r="C75" s="39"/>
      <c r="D75" s="39"/>
      <c r="E75" s="39"/>
      <c r="F75" s="39"/>
      <c r="G75" s="39"/>
      <c r="H75" s="18"/>
      <c r="I75" s="39"/>
      <c r="J75" s="39"/>
      <c r="K75" s="39"/>
    </row>
    <row r="76" spans="1:11" ht="18" customHeight="1" x14ac:dyDescent="0.25">
      <c r="A76" s="22">
        <v>2</v>
      </c>
      <c r="B76" s="39"/>
      <c r="C76" s="39"/>
      <c r="D76" s="39"/>
      <c r="E76" s="39"/>
      <c r="F76" s="39"/>
      <c r="G76" s="39"/>
      <c r="H76" s="18"/>
      <c r="I76" s="39"/>
      <c r="J76" s="39"/>
      <c r="K76" s="39"/>
    </row>
    <row r="77" spans="1:11" ht="18" customHeight="1" x14ac:dyDescent="0.25">
      <c r="A77" s="22">
        <v>3</v>
      </c>
      <c r="B77" s="39"/>
      <c r="C77" s="39"/>
      <c r="D77" s="39"/>
      <c r="E77" s="39"/>
      <c r="F77" s="39"/>
      <c r="G77" s="39"/>
      <c r="H77" s="18"/>
      <c r="I77" s="39"/>
      <c r="J77" s="39"/>
      <c r="K77" s="39"/>
    </row>
    <row r="79" spans="1:11" ht="21.75" customHeight="1" x14ac:dyDescent="0.25">
      <c r="A79" s="62" t="s">
        <v>110</v>
      </c>
      <c r="B79" s="62"/>
      <c r="C79" s="62"/>
      <c r="D79" s="62"/>
      <c r="E79" s="62"/>
      <c r="F79" s="62"/>
      <c r="G79" s="62"/>
      <c r="H79" s="62"/>
      <c r="I79" s="62"/>
      <c r="J79" s="62"/>
      <c r="K79" s="62"/>
    </row>
    <row r="80" spans="1:11" ht="21.75" customHeight="1" x14ac:dyDescent="0.25">
      <c r="A80" s="9" t="s">
        <v>92</v>
      </c>
      <c r="B80" s="57"/>
      <c r="C80" s="57"/>
      <c r="D80" s="9" t="s">
        <v>93</v>
      </c>
      <c r="E80" s="16"/>
      <c r="F80" s="9" t="s">
        <v>94</v>
      </c>
      <c r="G80" s="16"/>
      <c r="H80" s="9" t="s">
        <v>95</v>
      </c>
      <c r="I80" s="16"/>
      <c r="J80" s="9" t="s">
        <v>96</v>
      </c>
      <c r="K80" s="10"/>
    </row>
    <row r="81" spans="1:11" ht="45" customHeight="1" x14ac:dyDescent="0.25">
      <c r="A81" s="9" t="s">
        <v>97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</row>
    <row r="82" spans="1:11" ht="54.75" customHeight="1" x14ac:dyDescent="0.25">
      <c r="A82" s="9" t="s">
        <v>98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</row>
    <row r="83" spans="1:11" ht="18" customHeight="1" x14ac:dyDescent="0.25">
      <c r="A83" s="60" t="s">
        <v>99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</row>
    <row r="84" spans="1:11" ht="18" customHeight="1" x14ac:dyDescent="0.25">
      <c r="A84" s="21" t="s">
        <v>82</v>
      </c>
      <c r="B84" s="61" t="s">
        <v>100</v>
      </c>
      <c r="C84" s="61"/>
      <c r="D84" s="61"/>
      <c r="E84" s="61"/>
      <c r="F84" s="61" t="s">
        <v>101</v>
      </c>
      <c r="G84" s="61"/>
      <c r="H84" s="21" t="s">
        <v>102</v>
      </c>
      <c r="I84" s="61" t="s">
        <v>103</v>
      </c>
      <c r="J84" s="61"/>
      <c r="K84" s="61"/>
    </row>
    <row r="85" spans="1:11" ht="18" customHeight="1" x14ac:dyDescent="0.25">
      <c r="A85" s="22">
        <v>1</v>
      </c>
      <c r="B85" s="39"/>
      <c r="C85" s="39"/>
      <c r="D85" s="39"/>
      <c r="E85" s="39"/>
      <c r="F85" s="39"/>
      <c r="G85" s="39"/>
      <c r="H85" s="18"/>
      <c r="I85" s="39"/>
      <c r="J85" s="39"/>
      <c r="K85" s="39"/>
    </row>
    <row r="86" spans="1:11" ht="18" customHeight="1" x14ac:dyDescent="0.25">
      <c r="A86" s="22">
        <v>2</v>
      </c>
      <c r="B86" s="39"/>
      <c r="C86" s="39"/>
      <c r="D86" s="39"/>
      <c r="E86" s="39"/>
      <c r="F86" s="39"/>
      <c r="G86" s="39"/>
      <c r="H86" s="18"/>
      <c r="I86" s="39"/>
      <c r="J86" s="39"/>
      <c r="K86" s="39"/>
    </row>
    <row r="87" spans="1:11" ht="18" customHeight="1" x14ac:dyDescent="0.25">
      <c r="A87" s="22">
        <v>3</v>
      </c>
      <c r="B87" s="39"/>
      <c r="C87" s="39"/>
      <c r="D87" s="39"/>
      <c r="E87" s="39"/>
      <c r="F87" s="39"/>
      <c r="G87" s="39"/>
      <c r="H87" s="18"/>
      <c r="I87" s="39"/>
      <c r="J87" s="39"/>
      <c r="K87" s="39"/>
    </row>
    <row r="90" spans="1:11" ht="1.5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spans="1:11" ht="36" customHeight="1" x14ac:dyDescent="0.25">
      <c r="A91" s="30" t="s">
        <v>31</v>
      </c>
      <c r="B91" s="30"/>
      <c r="C91" s="30"/>
      <c r="D91" s="30"/>
      <c r="E91" s="30"/>
      <c r="F91" s="30" t="s">
        <v>32</v>
      </c>
      <c r="G91" s="30"/>
      <c r="H91" s="30"/>
      <c r="I91" s="30"/>
      <c r="J91" s="30"/>
      <c r="K91" s="30"/>
    </row>
    <row r="92" spans="1:11" ht="13.5" customHeight="1" x14ac:dyDescent="0.25">
      <c r="A92" s="31" t="s">
        <v>135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</row>
  </sheetData>
  <mergeCells count="147">
    <mergeCell ref="A1:K1"/>
    <mergeCell ref="A2:K2"/>
    <mergeCell ref="A3:K3"/>
    <mergeCell ref="A4:K4"/>
    <mergeCell ref="A5:K5"/>
    <mergeCell ref="A6:K6"/>
    <mergeCell ref="A7:K7"/>
    <mergeCell ref="A9:K9"/>
    <mergeCell ref="B10:C10"/>
    <mergeCell ref="B11:K11"/>
    <mergeCell ref="B12:K12"/>
    <mergeCell ref="A13:K13"/>
    <mergeCell ref="B14:E14"/>
    <mergeCell ref="F14:G14"/>
    <mergeCell ref="I14:K14"/>
    <mergeCell ref="B15:E15"/>
    <mergeCell ref="F15:G15"/>
    <mergeCell ref="I15:K15"/>
    <mergeCell ref="B16:E16"/>
    <mergeCell ref="F16:G16"/>
    <mergeCell ref="I16:K16"/>
    <mergeCell ref="B17:E17"/>
    <mergeCell ref="F17:G17"/>
    <mergeCell ref="I17:K17"/>
    <mergeCell ref="A19:K19"/>
    <mergeCell ref="B20:C20"/>
    <mergeCell ref="B21:K21"/>
    <mergeCell ref="B22:K22"/>
    <mergeCell ref="A23:K23"/>
    <mergeCell ref="B24:E24"/>
    <mergeCell ref="F24:G24"/>
    <mergeCell ref="I24:K24"/>
    <mergeCell ref="B25:E25"/>
    <mergeCell ref="F25:G25"/>
    <mergeCell ref="I25:K25"/>
    <mergeCell ref="B26:E26"/>
    <mergeCell ref="F26:G26"/>
    <mergeCell ref="I26:K26"/>
    <mergeCell ref="B27:E27"/>
    <mergeCell ref="F27:G27"/>
    <mergeCell ref="I27:K27"/>
    <mergeCell ref="A29:K29"/>
    <mergeCell ref="B30:C30"/>
    <mergeCell ref="B31:K31"/>
    <mergeCell ref="B32:K32"/>
    <mergeCell ref="A33:K33"/>
    <mergeCell ref="B34:E34"/>
    <mergeCell ref="F34:G34"/>
    <mergeCell ref="I34:K34"/>
    <mergeCell ref="B35:E35"/>
    <mergeCell ref="F35:G35"/>
    <mergeCell ref="I35:K35"/>
    <mergeCell ref="B36:E36"/>
    <mergeCell ref="F36:G36"/>
    <mergeCell ref="I36:K36"/>
    <mergeCell ref="B37:E37"/>
    <mergeCell ref="F37:G37"/>
    <mergeCell ref="I37:K37"/>
    <mergeCell ref="A39:K39"/>
    <mergeCell ref="B40:C40"/>
    <mergeCell ref="B41:K41"/>
    <mergeCell ref="B42:K42"/>
    <mergeCell ref="A43:K43"/>
    <mergeCell ref="B44:E44"/>
    <mergeCell ref="F44:G44"/>
    <mergeCell ref="I44:K44"/>
    <mergeCell ref="B45:E45"/>
    <mergeCell ref="F45:G45"/>
    <mergeCell ref="I45:K45"/>
    <mergeCell ref="B46:E46"/>
    <mergeCell ref="F46:G46"/>
    <mergeCell ref="I46:K46"/>
    <mergeCell ref="B47:E47"/>
    <mergeCell ref="F47:G47"/>
    <mergeCell ref="I47:K47"/>
    <mergeCell ref="A49:K49"/>
    <mergeCell ref="B50:C50"/>
    <mergeCell ref="B51:K51"/>
    <mergeCell ref="B52:K52"/>
    <mergeCell ref="A53:K53"/>
    <mergeCell ref="B54:E54"/>
    <mergeCell ref="F54:G54"/>
    <mergeCell ref="I54:K54"/>
    <mergeCell ref="B55:E55"/>
    <mergeCell ref="F55:G55"/>
    <mergeCell ref="I55:K55"/>
    <mergeCell ref="B56:E56"/>
    <mergeCell ref="F56:G56"/>
    <mergeCell ref="I56:K56"/>
    <mergeCell ref="B57:E57"/>
    <mergeCell ref="F57:G57"/>
    <mergeCell ref="I57:K57"/>
    <mergeCell ref="A59:K59"/>
    <mergeCell ref="B60:C60"/>
    <mergeCell ref="B61:K61"/>
    <mergeCell ref="B62:K62"/>
    <mergeCell ref="A63:K63"/>
    <mergeCell ref="B64:E64"/>
    <mergeCell ref="F64:G64"/>
    <mergeCell ref="I64:K64"/>
    <mergeCell ref="B65:E65"/>
    <mergeCell ref="F65:G65"/>
    <mergeCell ref="I65:K65"/>
    <mergeCell ref="B66:E66"/>
    <mergeCell ref="F66:G66"/>
    <mergeCell ref="I66:K66"/>
    <mergeCell ref="B67:E67"/>
    <mergeCell ref="F67:G67"/>
    <mergeCell ref="I67:K67"/>
    <mergeCell ref="A69:K69"/>
    <mergeCell ref="B70:C70"/>
    <mergeCell ref="B71:K71"/>
    <mergeCell ref="B72:K72"/>
    <mergeCell ref="A73:K73"/>
    <mergeCell ref="B74:E74"/>
    <mergeCell ref="F74:G74"/>
    <mergeCell ref="I74:K74"/>
    <mergeCell ref="B75:E75"/>
    <mergeCell ref="F75:G75"/>
    <mergeCell ref="I75:K75"/>
    <mergeCell ref="B76:E76"/>
    <mergeCell ref="F76:G76"/>
    <mergeCell ref="I76:K76"/>
    <mergeCell ref="B77:E77"/>
    <mergeCell ref="F77:G77"/>
    <mergeCell ref="I77:K77"/>
    <mergeCell ref="A79:K79"/>
    <mergeCell ref="B80:C80"/>
    <mergeCell ref="B81:K81"/>
    <mergeCell ref="B87:E87"/>
    <mergeCell ref="F87:G87"/>
    <mergeCell ref="I87:K87"/>
    <mergeCell ref="A90:K90"/>
    <mergeCell ref="A91:E91"/>
    <mergeCell ref="F91:K91"/>
    <mergeCell ref="A92:K92"/>
    <mergeCell ref="B82:K82"/>
    <mergeCell ref="A83:K83"/>
    <mergeCell ref="B84:E84"/>
    <mergeCell ref="F84:G84"/>
    <mergeCell ref="I84:K84"/>
    <mergeCell ref="B85:E85"/>
    <mergeCell ref="F85:G85"/>
    <mergeCell ref="I85:K85"/>
    <mergeCell ref="B86:E86"/>
    <mergeCell ref="F86:G86"/>
    <mergeCell ref="I86:K86"/>
  </mergeCells>
  <printOptions horizontalCentered="1"/>
  <pageMargins left="0.4" right="0.4" top="0.4" bottom="0.4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1A2E"/>
    <pageSetUpPr fitToPage="1"/>
  </sheetPr>
  <dimension ref="A1:F26"/>
  <sheetViews>
    <sheetView showGridLines="0" zoomScaleNormal="100" workbookViewId="0">
      <selection activeCell="C8" sqref="C8"/>
    </sheetView>
  </sheetViews>
  <sheetFormatPr baseColWidth="10" defaultColWidth="8.7109375" defaultRowHeight="15" x14ac:dyDescent="0.25"/>
  <cols>
    <col min="1" max="1" width="6" customWidth="1"/>
    <col min="2" max="2" width="16" customWidth="1"/>
    <col min="3" max="3" width="60" customWidth="1"/>
    <col min="4" max="5" width="14" customWidth="1"/>
  </cols>
  <sheetData>
    <row r="1" spans="1:5" ht="78.95" customHeight="1" x14ac:dyDescent="0.25">
      <c r="A1" s="35"/>
      <c r="B1" s="35"/>
      <c r="C1" s="35"/>
      <c r="D1" s="35"/>
      <c r="E1" s="35"/>
    </row>
    <row r="2" spans="1:5" ht="44.1" customHeight="1" x14ac:dyDescent="0.25">
      <c r="A2" s="58"/>
      <c r="B2" s="58"/>
      <c r="C2" s="58"/>
      <c r="D2" s="58"/>
      <c r="E2" s="58"/>
    </row>
    <row r="3" spans="1:5" ht="9.9499999999999993" customHeight="1" x14ac:dyDescent="0.25">
      <c r="A3" s="36" t="s">
        <v>0</v>
      </c>
      <c r="B3" s="36"/>
      <c r="C3" s="36"/>
      <c r="D3" s="36"/>
      <c r="E3" s="36"/>
    </row>
    <row r="4" spans="1:5" ht="25.5" customHeight="1" x14ac:dyDescent="0.25">
      <c r="A4" s="37" t="s">
        <v>111</v>
      </c>
      <c r="B4" s="37"/>
      <c r="C4" s="37"/>
      <c r="D4" s="37"/>
      <c r="E4" s="37"/>
    </row>
    <row r="5" spans="1:5" ht="15.75" customHeight="1" x14ac:dyDescent="0.25">
      <c r="A5" s="38" t="s">
        <v>139</v>
      </c>
      <c r="B5" s="38"/>
      <c r="C5" s="38"/>
      <c r="D5" s="38"/>
      <c r="E5" s="38"/>
    </row>
    <row r="6" spans="1:5" ht="3" customHeight="1" x14ac:dyDescent="0.25">
      <c r="A6" s="32"/>
      <c r="B6" s="32"/>
      <c r="C6" s="32"/>
      <c r="D6" s="32"/>
      <c r="E6" s="32"/>
    </row>
    <row r="7" spans="1:5" ht="24" customHeight="1" x14ac:dyDescent="0.25">
      <c r="A7" s="14" t="s">
        <v>112</v>
      </c>
      <c r="B7" s="14" t="s">
        <v>113</v>
      </c>
      <c r="C7" s="14" t="s">
        <v>114</v>
      </c>
      <c r="D7" s="14" t="s">
        <v>115</v>
      </c>
      <c r="E7" s="14" t="s">
        <v>116</v>
      </c>
    </row>
    <row r="8" spans="1:5" ht="21.75" customHeight="1" x14ac:dyDescent="0.25">
      <c r="A8" s="20">
        <v>1</v>
      </c>
      <c r="B8" s="10"/>
      <c r="C8" s="10"/>
      <c r="D8" s="11"/>
      <c r="E8" s="10"/>
    </row>
    <row r="9" spans="1:5" ht="21.75" customHeight="1" x14ac:dyDescent="0.25">
      <c r="A9" s="20">
        <v>2</v>
      </c>
      <c r="B9" s="10"/>
      <c r="C9" s="10"/>
      <c r="D9" s="11"/>
      <c r="E9" s="10"/>
    </row>
    <row r="10" spans="1:5" ht="21.75" customHeight="1" x14ac:dyDescent="0.25">
      <c r="A10" s="20">
        <v>3</v>
      </c>
      <c r="B10" s="10"/>
      <c r="C10" s="10"/>
      <c r="D10" s="11"/>
      <c r="E10" s="10"/>
    </row>
    <row r="11" spans="1:5" ht="21.75" customHeight="1" x14ac:dyDescent="0.25">
      <c r="A11" s="20">
        <v>4</v>
      </c>
      <c r="B11" s="10"/>
      <c r="C11" s="10"/>
      <c r="D11" s="11"/>
      <c r="E11" s="10"/>
    </row>
    <row r="12" spans="1:5" ht="21.75" customHeight="1" x14ac:dyDescent="0.25">
      <c r="A12" s="20">
        <v>5</v>
      </c>
      <c r="B12" s="10"/>
      <c r="C12" s="10"/>
      <c r="D12" s="11"/>
      <c r="E12" s="10"/>
    </row>
    <row r="13" spans="1:5" ht="21.75" customHeight="1" x14ac:dyDescent="0.25">
      <c r="A13" s="20">
        <v>6</v>
      </c>
      <c r="B13" s="10"/>
      <c r="C13" s="10"/>
      <c r="D13" s="11"/>
      <c r="E13" s="10"/>
    </row>
    <row r="14" spans="1:5" ht="21.75" customHeight="1" x14ac:dyDescent="0.25">
      <c r="A14" s="20">
        <v>7</v>
      </c>
      <c r="B14" s="10"/>
      <c r="C14" s="10"/>
      <c r="D14" s="11"/>
      <c r="E14" s="10"/>
    </row>
    <row r="15" spans="1:5" ht="21.75" customHeight="1" x14ac:dyDescent="0.25">
      <c r="A15" s="20">
        <v>8</v>
      </c>
      <c r="B15" s="10"/>
      <c r="C15" s="10"/>
      <c r="D15" s="11"/>
      <c r="E15" s="10"/>
    </row>
    <row r="16" spans="1:5" ht="21.75" customHeight="1" x14ac:dyDescent="0.25">
      <c r="A16" s="20">
        <v>9</v>
      </c>
      <c r="B16" s="10"/>
      <c r="C16" s="10"/>
      <c r="D16" s="11"/>
      <c r="E16" s="10"/>
    </row>
    <row r="17" spans="1:6" ht="21.75" customHeight="1" x14ac:dyDescent="0.25">
      <c r="A17" s="20">
        <v>10</v>
      </c>
      <c r="B17" s="10"/>
      <c r="C17" s="10"/>
      <c r="D17" s="11"/>
      <c r="E17" s="10"/>
    </row>
    <row r="18" spans="1:6" ht="21.75" customHeight="1" x14ac:dyDescent="0.25">
      <c r="A18" s="20">
        <v>11</v>
      </c>
      <c r="B18" s="10"/>
      <c r="C18" s="10"/>
      <c r="D18" s="11"/>
      <c r="E18" s="10"/>
    </row>
    <row r="19" spans="1:6" ht="21.75" customHeight="1" x14ac:dyDescent="0.25">
      <c r="A19" s="20">
        <v>12</v>
      </c>
      <c r="B19" s="10"/>
      <c r="C19" s="10"/>
      <c r="D19" s="11"/>
      <c r="E19" s="10"/>
    </row>
    <row r="20" spans="1:6" ht="21.75" customHeight="1" x14ac:dyDescent="0.25">
      <c r="A20" s="20">
        <v>13</v>
      </c>
      <c r="B20" s="10"/>
      <c r="C20" s="10"/>
      <c r="D20" s="11"/>
      <c r="E20" s="10"/>
    </row>
    <row r="21" spans="1:6" ht="21.75" customHeight="1" x14ac:dyDescent="0.25">
      <c r="A21" s="20">
        <v>14</v>
      </c>
      <c r="B21" s="10"/>
      <c r="C21" s="10"/>
      <c r="D21" s="11"/>
      <c r="E21" s="10"/>
    </row>
    <row r="22" spans="1:6" ht="21.75" customHeight="1" x14ac:dyDescent="0.25">
      <c r="A22" s="20">
        <v>15</v>
      </c>
      <c r="B22" s="10"/>
      <c r="C22" s="10"/>
      <c r="D22" s="11"/>
      <c r="E22" s="10"/>
    </row>
    <row r="24" spans="1:6" ht="1.5" customHeight="1" x14ac:dyDescent="0.25">
      <c r="A24" s="29"/>
      <c r="B24" s="29"/>
      <c r="C24" s="29"/>
      <c r="D24" s="29"/>
      <c r="E24" s="29"/>
    </row>
    <row r="25" spans="1:6" ht="36" customHeight="1" x14ac:dyDescent="0.25">
      <c r="A25" s="30" t="s">
        <v>31</v>
      </c>
      <c r="B25" s="30"/>
      <c r="C25" s="30" t="s">
        <v>32</v>
      </c>
      <c r="D25" s="30"/>
      <c r="E25" s="30"/>
    </row>
    <row r="26" spans="1:6" ht="13.5" customHeight="1" x14ac:dyDescent="0.25">
      <c r="A26" s="31" t="s">
        <v>135</v>
      </c>
      <c r="B26" s="31"/>
      <c r="C26" s="31"/>
      <c r="D26" s="31"/>
      <c r="E26" s="31"/>
      <c r="F26" s="31"/>
    </row>
  </sheetData>
  <mergeCells count="10">
    <mergeCell ref="A1:E1"/>
    <mergeCell ref="A2:E2"/>
    <mergeCell ref="A3:E3"/>
    <mergeCell ref="A4:E4"/>
    <mergeCell ref="A5:E5"/>
    <mergeCell ref="A6:E6"/>
    <mergeCell ref="A24:E24"/>
    <mergeCell ref="A25:B25"/>
    <mergeCell ref="C25:E25"/>
    <mergeCell ref="A26:F26"/>
  </mergeCells>
  <dataValidations count="2">
    <dataValidation type="list" allowBlank="1" error="Seleccione ALTA, MEDIA o BAJA" sqref="B8:B22" xr:uid="{00000000-0002-0000-0300-000000000000}">
      <formula1>"ALTA,MEDIA,BAJA"</formula1>
      <formula2>0</formula2>
    </dataValidation>
    <dataValidation type="list" allowBlank="1" error="Seleccione un estado válido" sqref="E8:E22" xr:uid="{00000000-0002-0000-0300-000001000000}">
      <formula1>"PENDIENTE,EN PROCESO,COMPLETADO,DIFERIDO"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1A2E"/>
    <pageSetUpPr fitToPage="1"/>
  </sheetPr>
  <dimension ref="A1:F39"/>
  <sheetViews>
    <sheetView showGridLines="0" topLeftCell="A4" zoomScaleNormal="100" workbookViewId="0">
      <selection activeCell="F16" sqref="F16"/>
    </sheetView>
  </sheetViews>
  <sheetFormatPr baseColWidth="10" defaultColWidth="8.7109375" defaultRowHeight="15" x14ac:dyDescent="0.25"/>
  <cols>
    <col min="1" max="1" width="6" customWidth="1"/>
    <col min="2" max="2" width="36" customWidth="1"/>
    <col min="3" max="3" width="18" customWidth="1"/>
    <col min="4" max="4" width="14" customWidth="1"/>
    <col min="5" max="5" width="11" customWidth="1"/>
    <col min="6" max="6" width="32" customWidth="1"/>
  </cols>
  <sheetData>
    <row r="1" spans="1:6" ht="66" customHeight="1" x14ac:dyDescent="0.25">
      <c r="A1" s="35"/>
      <c r="B1" s="35"/>
      <c r="C1" s="35"/>
      <c r="D1" s="35"/>
      <c r="E1" s="35"/>
      <c r="F1" s="35"/>
    </row>
    <row r="2" spans="1:6" ht="60.95" customHeight="1" x14ac:dyDescent="0.25">
      <c r="A2" s="58"/>
      <c r="B2" s="58"/>
      <c r="C2" s="58"/>
      <c r="D2" s="58"/>
      <c r="E2" s="58"/>
      <c r="F2" s="58"/>
    </row>
    <row r="3" spans="1:6" ht="18" customHeight="1" x14ac:dyDescent="0.25">
      <c r="A3" s="36" t="s">
        <v>0</v>
      </c>
      <c r="B3" s="36"/>
      <c r="C3" s="36"/>
      <c r="D3" s="36"/>
      <c r="E3" s="36"/>
      <c r="F3" s="36"/>
    </row>
    <row r="4" spans="1:6" ht="25.5" customHeight="1" x14ac:dyDescent="0.25">
      <c r="A4" s="37" t="s">
        <v>117</v>
      </c>
      <c r="B4" s="37"/>
      <c r="C4" s="37"/>
      <c r="D4" s="37"/>
      <c r="E4" s="37"/>
      <c r="F4" s="37"/>
    </row>
    <row r="5" spans="1:6" ht="15.75" customHeight="1" x14ac:dyDescent="0.25">
      <c r="A5" s="38" t="s">
        <v>138</v>
      </c>
      <c r="B5" s="38"/>
      <c r="C5" s="38"/>
      <c r="D5" s="38"/>
      <c r="E5" s="38"/>
      <c r="F5" s="38"/>
    </row>
    <row r="6" spans="1:6" ht="3" customHeight="1" x14ac:dyDescent="0.25">
      <c r="A6" s="32"/>
      <c r="B6" s="32"/>
      <c r="C6" s="32"/>
      <c r="D6" s="32"/>
      <c r="E6" s="32"/>
      <c r="F6" s="32"/>
    </row>
    <row r="7" spans="1:6" ht="21.75" customHeight="1" x14ac:dyDescent="0.25">
      <c r="A7" s="9" t="s">
        <v>118</v>
      </c>
      <c r="B7" s="10" t="s">
        <v>143</v>
      </c>
      <c r="C7" s="9" t="s">
        <v>37</v>
      </c>
      <c r="D7" s="10" t="s">
        <v>38</v>
      </c>
      <c r="E7" s="9" t="s">
        <v>39</v>
      </c>
      <c r="F7" s="10">
        <v>2154</v>
      </c>
    </row>
    <row r="9" spans="1:6" ht="24" customHeight="1" x14ac:dyDescent="0.25">
      <c r="A9" s="14" t="s">
        <v>112</v>
      </c>
      <c r="B9" s="14" t="s">
        <v>114</v>
      </c>
      <c r="C9" s="14" t="s">
        <v>101</v>
      </c>
      <c r="D9" s="14" t="s">
        <v>119</v>
      </c>
      <c r="E9" s="14" t="s">
        <v>120</v>
      </c>
      <c r="F9" s="14" t="s">
        <v>121</v>
      </c>
    </row>
    <row r="10" spans="1:6" ht="19.5" customHeight="1" x14ac:dyDescent="0.25">
      <c r="A10" s="20">
        <v>1</v>
      </c>
      <c r="B10" s="10" t="s">
        <v>144</v>
      </c>
      <c r="C10" s="10"/>
      <c r="D10" s="10"/>
      <c r="E10" s="18">
        <v>130</v>
      </c>
      <c r="F10" s="10" t="s">
        <v>160</v>
      </c>
    </row>
    <row r="11" spans="1:6" ht="19.5" customHeight="1" x14ac:dyDescent="0.25">
      <c r="A11" s="20">
        <v>2</v>
      </c>
      <c r="B11" s="10" t="s">
        <v>145</v>
      </c>
      <c r="C11" s="10"/>
      <c r="D11" s="10"/>
      <c r="E11" s="18">
        <v>3693</v>
      </c>
      <c r="F11" s="10" t="s">
        <v>159</v>
      </c>
    </row>
    <row r="12" spans="1:6" ht="19.5" customHeight="1" x14ac:dyDescent="0.25">
      <c r="A12" s="20">
        <v>3</v>
      </c>
      <c r="B12" s="10" t="s">
        <v>146</v>
      </c>
      <c r="C12" s="10"/>
      <c r="D12" s="10"/>
      <c r="E12" s="18">
        <v>4</v>
      </c>
      <c r="F12" s="10"/>
    </row>
    <row r="13" spans="1:6" ht="19.5" customHeight="1" x14ac:dyDescent="0.25">
      <c r="A13" s="20">
        <v>4</v>
      </c>
      <c r="B13" s="10" t="s">
        <v>161</v>
      </c>
      <c r="C13" s="10" t="s">
        <v>183</v>
      </c>
      <c r="D13" s="10"/>
      <c r="E13" s="18">
        <v>1</v>
      </c>
      <c r="F13" s="10"/>
    </row>
    <row r="14" spans="1:6" ht="19.5" customHeight="1" x14ac:dyDescent="0.25">
      <c r="A14" s="20">
        <v>5</v>
      </c>
      <c r="B14" s="10" t="s">
        <v>162</v>
      </c>
      <c r="C14" s="10" t="s">
        <v>184</v>
      </c>
      <c r="D14" s="10" t="s">
        <v>163</v>
      </c>
      <c r="E14" s="18">
        <v>1</v>
      </c>
      <c r="F14" s="10"/>
    </row>
    <row r="15" spans="1:6" ht="19.5" customHeight="1" x14ac:dyDescent="0.25">
      <c r="A15" s="20">
        <v>6</v>
      </c>
      <c r="B15" s="10"/>
      <c r="C15" s="10"/>
      <c r="D15" s="10"/>
      <c r="E15" s="18"/>
      <c r="F15" s="10"/>
    </row>
    <row r="16" spans="1:6" ht="19.5" customHeight="1" x14ac:dyDescent="0.25">
      <c r="A16" s="20">
        <v>7</v>
      </c>
      <c r="B16" s="10"/>
      <c r="C16" s="10"/>
      <c r="D16" s="10"/>
      <c r="E16" s="18"/>
      <c r="F16" s="10"/>
    </row>
    <row r="17" spans="1:6" ht="19.5" customHeight="1" x14ac:dyDescent="0.25">
      <c r="A17" s="20">
        <v>8</v>
      </c>
      <c r="B17" s="10"/>
      <c r="C17" s="10"/>
      <c r="D17" s="10"/>
      <c r="E17" s="18"/>
      <c r="F17" s="10"/>
    </row>
    <row r="18" spans="1:6" ht="19.5" customHeight="1" x14ac:dyDescent="0.25">
      <c r="A18" s="20">
        <v>9</v>
      </c>
      <c r="B18" s="10"/>
      <c r="C18" s="10"/>
      <c r="D18" s="10"/>
      <c r="E18" s="18"/>
      <c r="F18" s="10"/>
    </row>
    <row r="19" spans="1:6" ht="19.5" customHeight="1" x14ac:dyDescent="0.25">
      <c r="A19" s="20">
        <v>10</v>
      </c>
      <c r="B19" s="10"/>
      <c r="C19" s="10"/>
      <c r="D19" s="10"/>
      <c r="E19" s="18"/>
      <c r="F19" s="10"/>
    </row>
    <row r="20" spans="1:6" ht="19.5" customHeight="1" x14ac:dyDescent="0.25">
      <c r="A20" s="20">
        <v>11</v>
      </c>
      <c r="B20" s="10"/>
      <c r="C20" s="10"/>
      <c r="D20" s="10"/>
      <c r="E20" s="18"/>
      <c r="F20" s="10"/>
    </row>
    <row r="21" spans="1:6" ht="19.5" customHeight="1" x14ac:dyDescent="0.25">
      <c r="A21" s="20">
        <v>12</v>
      </c>
      <c r="B21" s="10"/>
      <c r="C21" s="10"/>
      <c r="D21" s="10"/>
      <c r="E21" s="18"/>
      <c r="F21" s="10"/>
    </row>
    <row r="22" spans="1:6" ht="19.5" customHeight="1" x14ac:dyDescent="0.25">
      <c r="A22" s="20">
        <v>13</v>
      </c>
      <c r="B22" s="10"/>
      <c r="C22" s="10"/>
      <c r="D22" s="10"/>
      <c r="E22" s="18"/>
      <c r="F22" s="10"/>
    </row>
    <row r="23" spans="1:6" ht="19.5" customHeight="1" x14ac:dyDescent="0.25">
      <c r="A23" s="20">
        <v>14</v>
      </c>
      <c r="B23" s="10"/>
      <c r="C23" s="10"/>
      <c r="D23" s="10"/>
      <c r="E23" s="18"/>
      <c r="F23" s="10"/>
    </row>
    <row r="24" spans="1:6" ht="19.5" customHeight="1" x14ac:dyDescent="0.25">
      <c r="A24" s="20">
        <v>15</v>
      </c>
      <c r="B24" s="10"/>
      <c r="C24" s="10"/>
      <c r="D24" s="10"/>
      <c r="E24" s="18"/>
      <c r="F24" s="10"/>
    </row>
    <row r="25" spans="1:6" ht="19.5" customHeight="1" x14ac:dyDescent="0.25">
      <c r="A25" s="20">
        <v>16</v>
      </c>
      <c r="B25" s="10"/>
      <c r="C25" s="10"/>
      <c r="D25" s="10"/>
      <c r="E25" s="18"/>
      <c r="F25" s="10"/>
    </row>
    <row r="26" spans="1:6" ht="19.5" customHeight="1" x14ac:dyDescent="0.25">
      <c r="A26" s="20">
        <v>17</v>
      </c>
      <c r="B26" s="10"/>
      <c r="C26" s="10"/>
      <c r="D26" s="10"/>
      <c r="E26" s="18"/>
      <c r="F26" s="10"/>
    </row>
    <row r="27" spans="1:6" ht="19.5" customHeight="1" x14ac:dyDescent="0.25">
      <c r="A27" s="20">
        <v>18</v>
      </c>
      <c r="B27" s="10"/>
      <c r="C27" s="10"/>
      <c r="D27" s="10"/>
      <c r="E27" s="18"/>
      <c r="F27" s="10"/>
    </row>
    <row r="28" spans="1:6" ht="19.5" customHeight="1" x14ac:dyDescent="0.25">
      <c r="A28" s="20">
        <v>19</v>
      </c>
      <c r="B28" s="10"/>
      <c r="C28" s="10"/>
      <c r="D28" s="10"/>
      <c r="E28" s="18"/>
      <c r="F28" s="10"/>
    </row>
    <row r="29" spans="1:6" ht="19.5" customHeight="1" x14ac:dyDescent="0.25">
      <c r="A29" s="20">
        <v>20</v>
      </c>
      <c r="B29" s="10"/>
      <c r="C29" s="10"/>
      <c r="D29" s="10"/>
      <c r="E29" s="18"/>
      <c r="F29" s="10"/>
    </row>
    <row r="30" spans="1:6" ht="19.5" customHeight="1" x14ac:dyDescent="0.25">
      <c r="A30" s="20">
        <v>21</v>
      </c>
      <c r="B30" s="10"/>
      <c r="C30" s="10"/>
      <c r="D30" s="10"/>
      <c r="E30" s="18"/>
      <c r="F30" s="10"/>
    </row>
    <row r="31" spans="1:6" ht="19.5" customHeight="1" x14ac:dyDescent="0.25">
      <c r="A31" s="20">
        <v>22</v>
      </c>
      <c r="B31" s="10"/>
      <c r="C31" s="10"/>
      <c r="D31" s="10"/>
      <c r="E31" s="18"/>
      <c r="F31" s="10"/>
    </row>
    <row r="32" spans="1:6" ht="19.5" customHeight="1" x14ac:dyDescent="0.25">
      <c r="A32" s="20">
        <v>23</v>
      </c>
      <c r="B32" s="10"/>
      <c r="C32" s="10"/>
      <c r="D32" s="10"/>
      <c r="E32" s="18"/>
      <c r="F32" s="10"/>
    </row>
    <row r="33" spans="1:6" ht="19.5" customHeight="1" x14ac:dyDescent="0.25">
      <c r="A33" s="20">
        <v>24</v>
      </c>
      <c r="B33" s="10"/>
      <c r="C33" s="10"/>
      <c r="D33" s="10"/>
      <c r="E33" s="18"/>
      <c r="F33" s="10"/>
    </row>
    <row r="34" spans="1:6" ht="19.5" customHeight="1" x14ac:dyDescent="0.25">
      <c r="A34" s="20">
        <v>25</v>
      </c>
      <c r="B34" s="10"/>
      <c r="C34" s="10"/>
      <c r="D34" s="10"/>
      <c r="E34" s="18"/>
      <c r="F34" s="10"/>
    </row>
    <row r="35" spans="1:6" ht="21.75" customHeight="1" x14ac:dyDescent="0.25">
      <c r="A35" s="64" t="s">
        <v>122</v>
      </c>
      <c r="B35" s="64"/>
      <c r="C35" s="64"/>
      <c r="D35" s="64"/>
      <c r="E35" s="23">
        <f>COUNTA(B10:B34)</f>
        <v>5</v>
      </c>
      <c r="F35" s="6"/>
    </row>
    <row r="37" spans="1:6" ht="1.5" customHeight="1" x14ac:dyDescent="0.25">
      <c r="A37" s="29"/>
      <c r="B37" s="29"/>
      <c r="C37" s="29"/>
      <c r="D37" s="29"/>
      <c r="E37" s="29"/>
      <c r="F37" s="29"/>
    </row>
    <row r="38" spans="1:6" ht="36" customHeight="1" x14ac:dyDescent="0.25">
      <c r="A38" s="30" t="s">
        <v>31</v>
      </c>
      <c r="B38" s="30"/>
      <c r="C38" s="30"/>
      <c r="D38" s="30" t="s">
        <v>32</v>
      </c>
      <c r="E38" s="30"/>
      <c r="F38" s="30"/>
    </row>
    <row r="39" spans="1:6" ht="13.5" customHeight="1" x14ac:dyDescent="0.25">
      <c r="A39" s="31" t="s">
        <v>135</v>
      </c>
      <c r="B39" s="31"/>
      <c r="C39" s="31"/>
      <c r="D39" s="31"/>
      <c r="E39" s="31"/>
      <c r="F39" s="31"/>
    </row>
  </sheetData>
  <mergeCells count="11">
    <mergeCell ref="A1:F1"/>
    <mergeCell ref="A2:F2"/>
    <mergeCell ref="A3:F3"/>
    <mergeCell ref="A4:F4"/>
    <mergeCell ref="A5:F5"/>
    <mergeCell ref="A39:F39"/>
    <mergeCell ref="A6:F6"/>
    <mergeCell ref="A35:D35"/>
    <mergeCell ref="A37:F37"/>
    <mergeCell ref="A38:C38"/>
    <mergeCell ref="D38:F38"/>
  </mergeCells>
  <printOptions horizontalCentered="1"/>
  <pageMargins left="0.4" right="0.4" top="0.4" bottom="0.4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1A2E"/>
    <pageSetUpPr fitToPage="1"/>
  </sheetPr>
  <dimension ref="A1:F33"/>
  <sheetViews>
    <sheetView showGridLines="0" topLeftCell="A4" zoomScaleNormal="100" workbookViewId="0">
      <selection activeCell="C22" sqref="C22"/>
    </sheetView>
  </sheetViews>
  <sheetFormatPr baseColWidth="10" defaultColWidth="8.7109375" defaultRowHeight="15" x14ac:dyDescent="0.25"/>
  <cols>
    <col min="1" max="1" width="6" customWidth="1"/>
    <col min="2" max="2" width="36" customWidth="1"/>
    <col min="3" max="3" width="18" customWidth="1"/>
    <col min="4" max="4" width="14" customWidth="1"/>
    <col min="5" max="5" width="11" customWidth="1"/>
    <col min="6" max="6" width="32" customWidth="1"/>
  </cols>
  <sheetData>
    <row r="1" spans="1:6" ht="66" customHeight="1" x14ac:dyDescent="0.25">
      <c r="A1" s="35"/>
      <c r="B1" s="35"/>
      <c r="C1" s="35"/>
      <c r="D1" s="35"/>
      <c r="E1" s="35"/>
      <c r="F1" s="35"/>
    </row>
    <row r="2" spans="1:6" ht="69" customHeight="1" x14ac:dyDescent="0.25">
      <c r="A2" s="58"/>
      <c r="B2" s="58"/>
      <c r="C2" s="58"/>
      <c r="D2" s="58"/>
      <c r="E2" s="58"/>
      <c r="F2" s="58"/>
    </row>
    <row r="3" spans="1:6" ht="18" customHeight="1" x14ac:dyDescent="0.25">
      <c r="A3" s="36" t="s">
        <v>0</v>
      </c>
      <c r="B3" s="36"/>
      <c r="C3" s="36"/>
      <c r="D3" s="36"/>
      <c r="E3" s="36"/>
      <c r="F3" s="36"/>
    </row>
    <row r="4" spans="1:6" ht="25.5" customHeight="1" x14ac:dyDescent="0.25">
      <c r="A4" s="37" t="s">
        <v>123</v>
      </c>
      <c r="B4" s="37"/>
      <c r="C4" s="37"/>
      <c r="D4" s="37"/>
      <c r="E4" s="37"/>
      <c r="F4" s="37"/>
    </row>
    <row r="5" spans="1:6" ht="15.75" customHeight="1" x14ac:dyDescent="0.25">
      <c r="A5" s="38" t="s">
        <v>137</v>
      </c>
      <c r="B5" s="38"/>
      <c r="C5" s="38"/>
      <c r="D5" s="38"/>
      <c r="E5" s="38"/>
      <c r="F5" s="38"/>
    </row>
    <row r="6" spans="1:6" ht="3" customHeight="1" x14ac:dyDescent="0.25">
      <c r="A6" s="32"/>
      <c r="B6" s="32"/>
      <c r="C6" s="32"/>
      <c r="D6" s="32"/>
      <c r="E6" s="32"/>
      <c r="F6" s="32"/>
    </row>
    <row r="7" spans="1:6" ht="21.75" customHeight="1" x14ac:dyDescent="0.25">
      <c r="A7" s="9" t="s">
        <v>118</v>
      </c>
      <c r="B7" s="10" t="s">
        <v>143</v>
      </c>
      <c r="C7" s="9" t="s">
        <v>37</v>
      </c>
      <c r="D7" s="10" t="s">
        <v>38</v>
      </c>
      <c r="E7" s="9" t="s">
        <v>92</v>
      </c>
      <c r="F7" s="11">
        <v>46202</v>
      </c>
    </row>
    <row r="9" spans="1:6" ht="24" customHeight="1" x14ac:dyDescent="0.25">
      <c r="A9" s="14" t="s">
        <v>112</v>
      </c>
      <c r="B9" s="14" t="s">
        <v>114</v>
      </c>
      <c r="C9" s="14" t="s">
        <v>101</v>
      </c>
      <c r="D9" s="14" t="s">
        <v>119</v>
      </c>
      <c r="E9" s="14" t="s">
        <v>120</v>
      </c>
      <c r="F9" s="14" t="s">
        <v>124</v>
      </c>
    </row>
    <row r="10" spans="1:6" ht="19.5" customHeight="1" x14ac:dyDescent="0.25">
      <c r="A10" s="20">
        <v>1</v>
      </c>
      <c r="B10" s="10" t="s">
        <v>164</v>
      </c>
      <c r="C10" s="10" t="s">
        <v>147</v>
      </c>
      <c r="D10" s="10"/>
      <c r="E10" s="18">
        <v>6</v>
      </c>
      <c r="F10" s="10"/>
    </row>
    <row r="11" spans="1:6" ht="19.5" customHeight="1" x14ac:dyDescent="0.25">
      <c r="A11" s="20">
        <v>2</v>
      </c>
      <c r="B11" s="10" t="s">
        <v>161</v>
      </c>
      <c r="C11" s="10" t="s">
        <v>165</v>
      </c>
      <c r="D11" s="10"/>
      <c r="E11" s="18">
        <v>1</v>
      </c>
      <c r="F11" s="10"/>
    </row>
    <row r="12" spans="1:6" ht="19.5" customHeight="1" x14ac:dyDescent="0.25">
      <c r="A12" s="20">
        <v>3</v>
      </c>
      <c r="B12" s="10" t="s">
        <v>166</v>
      </c>
      <c r="C12" s="10" t="s">
        <v>167</v>
      </c>
      <c r="D12" s="10"/>
      <c r="E12" s="18">
        <v>3</v>
      </c>
      <c r="F12" s="10"/>
    </row>
    <row r="13" spans="1:6" ht="25.5" x14ac:dyDescent="0.25">
      <c r="A13" s="20">
        <v>4</v>
      </c>
      <c r="B13" s="10" t="s">
        <v>168</v>
      </c>
      <c r="C13" s="10" t="s">
        <v>169</v>
      </c>
      <c r="D13" s="10"/>
      <c r="E13" s="18">
        <v>1</v>
      </c>
      <c r="F13" s="10" t="s">
        <v>170</v>
      </c>
    </row>
    <row r="14" spans="1:6" ht="19.5" customHeight="1" x14ac:dyDescent="0.25">
      <c r="A14" s="20">
        <v>5</v>
      </c>
      <c r="B14" s="10" t="s">
        <v>171</v>
      </c>
      <c r="C14" s="10"/>
      <c r="D14" s="10"/>
      <c r="E14" s="18">
        <v>20</v>
      </c>
      <c r="F14" s="10" t="s">
        <v>172</v>
      </c>
    </row>
    <row r="15" spans="1:6" x14ac:dyDescent="0.25">
      <c r="A15" s="20">
        <v>6</v>
      </c>
      <c r="B15" s="10" t="s">
        <v>174</v>
      </c>
      <c r="C15" s="10">
        <v>73000</v>
      </c>
      <c r="D15" s="10"/>
      <c r="E15" s="18">
        <v>1</v>
      </c>
      <c r="F15" s="10" t="s">
        <v>173</v>
      </c>
    </row>
    <row r="16" spans="1:6" x14ac:dyDescent="0.25">
      <c r="A16" s="20">
        <v>7</v>
      </c>
      <c r="B16" s="10" t="s">
        <v>175</v>
      </c>
      <c r="C16" s="10">
        <v>73013</v>
      </c>
      <c r="D16" s="10"/>
      <c r="E16" s="18">
        <v>1</v>
      </c>
      <c r="F16" s="10" t="s">
        <v>173</v>
      </c>
    </row>
    <row r="17" spans="1:6" ht="19.5" customHeight="1" x14ac:dyDescent="0.25">
      <c r="A17" s="20">
        <v>8</v>
      </c>
      <c r="B17" s="10" t="s">
        <v>176</v>
      </c>
      <c r="C17" s="10"/>
      <c r="D17" s="10"/>
      <c r="E17" s="18">
        <v>2</v>
      </c>
      <c r="F17" s="10"/>
    </row>
    <row r="18" spans="1:6" ht="19.5" customHeight="1" x14ac:dyDescent="0.25">
      <c r="A18" s="20">
        <v>9</v>
      </c>
      <c r="B18" s="10" t="s">
        <v>177</v>
      </c>
      <c r="C18" s="10" t="s">
        <v>179</v>
      </c>
      <c r="D18" s="10"/>
      <c r="E18" s="18">
        <v>1</v>
      </c>
      <c r="F18" s="10"/>
    </row>
    <row r="19" spans="1:6" ht="19.5" customHeight="1" x14ac:dyDescent="0.25">
      <c r="A19" s="20">
        <v>10</v>
      </c>
      <c r="B19" s="10" t="s">
        <v>180</v>
      </c>
      <c r="C19" s="10" t="s">
        <v>178</v>
      </c>
      <c r="D19" s="10"/>
      <c r="E19" s="18">
        <v>1</v>
      </c>
      <c r="F19" s="10"/>
    </row>
    <row r="20" spans="1:6" ht="19.5" customHeight="1" x14ac:dyDescent="0.25">
      <c r="A20" s="20">
        <v>11</v>
      </c>
      <c r="B20" s="10" t="s">
        <v>181</v>
      </c>
      <c r="C20" s="10"/>
      <c r="D20" s="10"/>
      <c r="E20" s="18">
        <v>1</v>
      </c>
      <c r="F20" s="10"/>
    </row>
    <row r="21" spans="1:6" ht="25.5" x14ac:dyDescent="0.25">
      <c r="A21" s="20">
        <v>12</v>
      </c>
      <c r="B21" s="10" t="s">
        <v>182</v>
      </c>
      <c r="C21" s="10"/>
      <c r="D21" s="10"/>
      <c r="E21" s="18">
        <v>2</v>
      </c>
      <c r="F21" s="10"/>
    </row>
    <row r="22" spans="1:6" ht="19.5" customHeight="1" x14ac:dyDescent="0.25">
      <c r="A22" s="20">
        <v>13</v>
      </c>
      <c r="B22" s="10"/>
      <c r="C22" s="10"/>
      <c r="D22" s="10"/>
      <c r="E22" s="18"/>
      <c r="F22" s="10"/>
    </row>
    <row r="23" spans="1:6" ht="19.5" customHeight="1" x14ac:dyDescent="0.25">
      <c r="A23" s="20">
        <v>14</v>
      </c>
      <c r="B23" s="10"/>
      <c r="C23" s="10"/>
      <c r="D23" s="10"/>
      <c r="E23" s="18"/>
      <c r="F23" s="10"/>
    </row>
    <row r="24" spans="1:6" ht="19.5" customHeight="1" x14ac:dyDescent="0.25">
      <c r="A24" s="20">
        <v>15</v>
      </c>
      <c r="B24" s="10"/>
      <c r="C24" s="10"/>
      <c r="D24" s="10"/>
      <c r="E24" s="18"/>
      <c r="F24" s="10"/>
    </row>
    <row r="25" spans="1:6" ht="19.5" customHeight="1" x14ac:dyDescent="0.25">
      <c r="A25" s="20">
        <v>16</v>
      </c>
      <c r="B25" s="10"/>
      <c r="C25" s="10"/>
      <c r="D25" s="10"/>
      <c r="E25" s="18"/>
      <c r="F25" s="10"/>
    </row>
    <row r="26" spans="1:6" ht="19.5" customHeight="1" x14ac:dyDescent="0.25">
      <c r="A26" s="20">
        <v>17</v>
      </c>
      <c r="B26" s="10"/>
      <c r="C26" s="10"/>
      <c r="D26" s="10"/>
      <c r="E26" s="18"/>
      <c r="F26" s="10"/>
    </row>
    <row r="27" spans="1:6" ht="19.5" customHeight="1" x14ac:dyDescent="0.25">
      <c r="A27" s="20">
        <v>18</v>
      </c>
      <c r="B27" s="10"/>
      <c r="C27" s="10"/>
      <c r="D27" s="10"/>
      <c r="E27" s="18"/>
      <c r="F27" s="10"/>
    </row>
    <row r="28" spans="1:6" ht="19.5" customHeight="1" x14ac:dyDescent="0.25">
      <c r="A28" s="20">
        <v>19</v>
      </c>
      <c r="B28" s="10"/>
      <c r="C28" s="10"/>
      <c r="D28" s="10"/>
      <c r="E28" s="18"/>
      <c r="F28" s="10"/>
    </row>
    <row r="29" spans="1:6" ht="19.5" customHeight="1" x14ac:dyDescent="0.25">
      <c r="A29" s="20">
        <v>20</v>
      </c>
      <c r="B29" s="10"/>
      <c r="C29" s="10"/>
      <c r="D29" s="10"/>
      <c r="E29" s="18"/>
      <c r="F29" s="10"/>
    </row>
    <row r="31" spans="1:6" ht="1.5" customHeight="1" x14ac:dyDescent="0.25">
      <c r="A31" s="29"/>
      <c r="B31" s="29"/>
      <c r="C31" s="29"/>
      <c r="D31" s="29"/>
      <c r="E31" s="29"/>
      <c r="F31" s="29"/>
    </row>
    <row r="32" spans="1:6" ht="36" customHeight="1" x14ac:dyDescent="0.25">
      <c r="A32" s="30" t="s">
        <v>31</v>
      </c>
      <c r="B32" s="30"/>
      <c r="C32" s="30"/>
      <c r="D32" s="30" t="s">
        <v>32</v>
      </c>
      <c r="E32" s="30"/>
      <c r="F32" s="30"/>
    </row>
    <row r="33" spans="1:6" ht="13.5" customHeight="1" x14ac:dyDescent="0.25">
      <c r="A33" s="31" t="s">
        <v>135</v>
      </c>
      <c r="B33" s="31"/>
      <c r="C33" s="31"/>
      <c r="D33" s="31"/>
      <c r="E33" s="31"/>
      <c r="F33" s="31"/>
    </row>
  </sheetData>
  <mergeCells count="10">
    <mergeCell ref="A1:F1"/>
    <mergeCell ref="A2:F2"/>
    <mergeCell ref="A3:F3"/>
    <mergeCell ref="A4:F4"/>
    <mergeCell ref="A5:F5"/>
    <mergeCell ref="A6:F6"/>
    <mergeCell ref="A31:F31"/>
    <mergeCell ref="A32:C32"/>
    <mergeCell ref="D32:F32"/>
    <mergeCell ref="A33:F33"/>
  </mergeCells>
  <printOptions horizontalCentered="1"/>
  <pageMargins left="0.4" right="0.4" top="0.4" bottom="0.4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1A2E"/>
    <pageSetUpPr fitToPage="1"/>
  </sheetPr>
  <dimension ref="A1:G31"/>
  <sheetViews>
    <sheetView showGridLines="0" zoomScaleNormal="100" workbookViewId="0">
      <selection activeCell="A5" sqref="A5:G5"/>
    </sheetView>
  </sheetViews>
  <sheetFormatPr baseColWidth="10" defaultColWidth="8.7109375" defaultRowHeight="15" x14ac:dyDescent="0.25"/>
  <cols>
    <col min="1" max="1" width="6" customWidth="1"/>
    <col min="2" max="2" width="32" customWidth="1"/>
    <col min="3" max="3" width="18" customWidth="1"/>
    <col min="4" max="6" width="16" customWidth="1"/>
    <col min="7" max="7" width="28" customWidth="1"/>
  </cols>
  <sheetData>
    <row r="1" spans="1:7" ht="66" customHeight="1" x14ac:dyDescent="0.25">
      <c r="A1" s="35"/>
      <c r="B1" s="35"/>
      <c r="C1" s="35"/>
      <c r="D1" s="35"/>
      <c r="E1" s="35"/>
      <c r="F1" s="35"/>
      <c r="G1" s="35"/>
    </row>
    <row r="2" spans="1:7" ht="72.95" customHeight="1" x14ac:dyDescent="0.25">
      <c r="A2" s="58"/>
      <c r="B2" s="58"/>
      <c r="C2" s="58"/>
      <c r="D2" s="58"/>
      <c r="E2" s="58"/>
      <c r="F2" s="58"/>
      <c r="G2" s="58"/>
    </row>
    <row r="3" spans="1:7" ht="18" customHeight="1" x14ac:dyDescent="0.25">
      <c r="A3" s="36" t="s">
        <v>0</v>
      </c>
      <c r="B3" s="36"/>
      <c r="C3" s="36"/>
      <c r="D3" s="36"/>
      <c r="E3" s="36"/>
      <c r="F3" s="36"/>
      <c r="G3" s="36"/>
    </row>
    <row r="4" spans="1:7" ht="25.5" customHeight="1" x14ac:dyDescent="0.25">
      <c r="A4" s="37" t="s">
        <v>125</v>
      </c>
      <c r="B4" s="37"/>
      <c r="C4" s="37"/>
      <c r="D4" s="37"/>
      <c r="E4" s="37"/>
      <c r="F4" s="37"/>
      <c r="G4" s="37"/>
    </row>
    <row r="5" spans="1:7" ht="15.75" customHeight="1" x14ac:dyDescent="0.25">
      <c r="A5" s="38" t="s">
        <v>136</v>
      </c>
      <c r="B5" s="38"/>
      <c r="C5" s="38"/>
      <c r="D5" s="38"/>
      <c r="E5" s="38"/>
      <c r="F5" s="38"/>
      <c r="G5" s="38"/>
    </row>
    <row r="6" spans="1:7" ht="3" customHeight="1" x14ac:dyDescent="0.25">
      <c r="A6" s="32"/>
      <c r="B6" s="32"/>
      <c r="C6" s="32"/>
      <c r="D6" s="32"/>
      <c r="E6" s="32"/>
      <c r="F6" s="32"/>
      <c r="G6" s="32"/>
    </row>
    <row r="7" spans="1:7" ht="24" customHeight="1" x14ac:dyDescent="0.25">
      <c r="A7" s="14" t="s">
        <v>112</v>
      </c>
      <c r="B7" s="14" t="s">
        <v>114</v>
      </c>
      <c r="C7" s="14" t="s">
        <v>126</v>
      </c>
      <c r="D7" s="14" t="s">
        <v>127</v>
      </c>
      <c r="E7" s="14" t="s">
        <v>128</v>
      </c>
      <c r="F7" s="14" t="s">
        <v>116</v>
      </c>
      <c r="G7" s="14" t="s">
        <v>129</v>
      </c>
    </row>
    <row r="8" spans="1:7" ht="19.5" customHeight="1" x14ac:dyDescent="0.25">
      <c r="A8" s="20">
        <v>1</v>
      </c>
      <c r="B8" s="10"/>
      <c r="C8" s="10"/>
      <c r="D8" s="11"/>
      <c r="E8" s="11"/>
      <c r="F8" s="24" t="str">
        <f t="shared" ref="F8:F27" ca="1" si="0">IF(E8="","",IF(E8&lt;TODAY(),"VENCIDA",IF(E8&lt;TODAY()+30,"POR VENCER","VIGENTE")))</f>
        <v/>
      </c>
      <c r="G8" s="10"/>
    </row>
    <row r="9" spans="1:7" ht="19.5" customHeight="1" x14ac:dyDescent="0.25">
      <c r="A9" s="20">
        <v>2</v>
      </c>
      <c r="B9" s="10"/>
      <c r="C9" s="10"/>
      <c r="D9" s="11"/>
      <c r="E9" s="11"/>
      <c r="F9" s="24" t="str">
        <f t="shared" ca="1" si="0"/>
        <v/>
      </c>
      <c r="G9" s="10"/>
    </row>
    <row r="10" spans="1:7" ht="19.5" customHeight="1" x14ac:dyDescent="0.25">
      <c r="A10" s="20">
        <v>3</v>
      </c>
      <c r="B10" s="10"/>
      <c r="C10" s="10"/>
      <c r="D10" s="11"/>
      <c r="E10" s="11"/>
      <c r="F10" s="24" t="str">
        <f t="shared" ca="1" si="0"/>
        <v/>
      </c>
      <c r="G10" s="10"/>
    </row>
    <row r="11" spans="1:7" ht="19.5" customHeight="1" x14ac:dyDescent="0.25">
      <c r="A11" s="20">
        <v>4</v>
      </c>
      <c r="B11" s="10"/>
      <c r="C11" s="10"/>
      <c r="D11" s="11"/>
      <c r="E11" s="11"/>
      <c r="F11" s="24" t="str">
        <f t="shared" ca="1" si="0"/>
        <v/>
      </c>
      <c r="G11" s="10"/>
    </row>
    <row r="12" spans="1:7" ht="19.5" customHeight="1" x14ac:dyDescent="0.25">
      <c r="A12" s="20">
        <v>5</v>
      </c>
      <c r="B12" s="10"/>
      <c r="C12" s="10"/>
      <c r="D12" s="11"/>
      <c r="E12" s="11"/>
      <c r="F12" s="24" t="str">
        <f t="shared" ca="1" si="0"/>
        <v/>
      </c>
      <c r="G12" s="10"/>
    </row>
    <row r="13" spans="1:7" ht="19.5" customHeight="1" x14ac:dyDescent="0.25">
      <c r="A13" s="20">
        <v>6</v>
      </c>
      <c r="B13" s="10"/>
      <c r="C13" s="10"/>
      <c r="D13" s="11"/>
      <c r="E13" s="11"/>
      <c r="F13" s="24" t="str">
        <f t="shared" ca="1" si="0"/>
        <v/>
      </c>
      <c r="G13" s="10"/>
    </row>
    <row r="14" spans="1:7" ht="19.5" customHeight="1" x14ac:dyDescent="0.25">
      <c r="A14" s="20">
        <v>7</v>
      </c>
      <c r="B14" s="10"/>
      <c r="C14" s="10"/>
      <c r="D14" s="11"/>
      <c r="E14" s="11"/>
      <c r="F14" s="24" t="str">
        <f t="shared" ca="1" si="0"/>
        <v/>
      </c>
      <c r="G14" s="10"/>
    </row>
    <row r="15" spans="1:7" ht="19.5" customHeight="1" x14ac:dyDescent="0.25">
      <c r="A15" s="20">
        <v>8</v>
      </c>
      <c r="B15" s="10"/>
      <c r="C15" s="10"/>
      <c r="D15" s="11"/>
      <c r="E15" s="11"/>
      <c r="F15" s="24" t="str">
        <f t="shared" ca="1" si="0"/>
        <v/>
      </c>
      <c r="G15" s="10"/>
    </row>
    <row r="16" spans="1:7" ht="19.5" customHeight="1" x14ac:dyDescent="0.25">
      <c r="A16" s="20">
        <v>9</v>
      </c>
      <c r="B16" s="10"/>
      <c r="C16" s="10"/>
      <c r="D16" s="11"/>
      <c r="E16" s="11"/>
      <c r="F16" s="24" t="str">
        <f t="shared" ca="1" si="0"/>
        <v/>
      </c>
      <c r="G16" s="10"/>
    </row>
    <row r="17" spans="1:7" ht="19.5" customHeight="1" x14ac:dyDescent="0.25">
      <c r="A17" s="20">
        <v>10</v>
      </c>
      <c r="B17" s="10"/>
      <c r="C17" s="10"/>
      <c r="D17" s="11"/>
      <c r="E17" s="11"/>
      <c r="F17" s="24" t="str">
        <f t="shared" ca="1" si="0"/>
        <v/>
      </c>
      <c r="G17" s="10"/>
    </row>
    <row r="18" spans="1:7" ht="19.5" customHeight="1" x14ac:dyDescent="0.25">
      <c r="A18" s="20">
        <v>11</v>
      </c>
      <c r="B18" s="10"/>
      <c r="C18" s="10"/>
      <c r="D18" s="11"/>
      <c r="E18" s="11"/>
      <c r="F18" s="24" t="str">
        <f t="shared" ca="1" si="0"/>
        <v/>
      </c>
      <c r="G18" s="10"/>
    </row>
    <row r="19" spans="1:7" ht="19.5" customHeight="1" x14ac:dyDescent="0.25">
      <c r="A19" s="20">
        <v>12</v>
      </c>
      <c r="B19" s="10"/>
      <c r="C19" s="10"/>
      <c r="D19" s="11"/>
      <c r="E19" s="11"/>
      <c r="F19" s="24" t="str">
        <f t="shared" ca="1" si="0"/>
        <v/>
      </c>
      <c r="G19" s="10"/>
    </row>
    <row r="20" spans="1:7" ht="19.5" customHeight="1" x14ac:dyDescent="0.25">
      <c r="A20" s="20">
        <v>13</v>
      </c>
      <c r="B20" s="10"/>
      <c r="C20" s="10"/>
      <c r="D20" s="11"/>
      <c r="E20" s="11"/>
      <c r="F20" s="24" t="str">
        <f t="shared" ca="1" si="0"/>
        <v/>
      </c>
      <c r="G20" s="10"/>
    </row>
    <row r="21" spans="1:7" ht="19.5" customHeight="1" x14ac:dyDescent="0.25">
      <c r="A21" s="20">
        <v>14</v>
      </c>
      <c r="B21" s="10"/>
      <c r="C21" s="10"/>
      <c r="D21" s="11"/>
      <c r="E21" s="11"/>
      <c r="F21" s="24" t="str">
        <f t="shared" ca="1" si="0"/>
        <v/>
      </c>
      <c r="G21" s="10"/>
    </row>
    <row r="22" spans="1:7" ht="19.5" customHeight="1" x14ac:dyDescent="0.25">
      <c r="A22" s="20">
        <v>15</v>
      </c>
      <c r="B22" s="10"/>
      <c r="C22" s="10"/>
      <c r="D22" s="11"/>
      <c r="E22" s="11"/>
      <c r="F22" s="24" t="str">
        <f t="shared" ca="1" si="0"/>
        <v/>
      </c>
      <c r="G22" s="10"/>
    </row>
    <row r="23" spans="1:7" ht="19.5" customHeight="1" x14ac:dyDescent="0.25">
      <c r="A23" s="20">
        <v>16</v>
      </c>
      <c r="B23" s="10"/>
      <c r="C23" s="10"/>
      <c r="D23" s="11"/>
      <c r="E23" s="11"/>
      <c r="F23" s="24" t="str">
        <f t="shared" ca="1" si="0"/>
        <v/>
      </c>
      <c r="G23" s="10"/>
    </row>
    <row r="24" spans="1:7" ht="19.5" customHeight="1" x14ac:dyDescent="0.25">
      <c r="A24" s="20">
        <v>17</v>
      </c>
      <c r="B24" s="10"/>
      <c r="C24" s="10"/>
      <c r="D24" s="11"/>
      <c r="E24" s="11"/>
      <c r="F24" s="24" t="str">
        <f t="shared" ca="1" si="0"/>
        <v/>
      </c>
      <c r="G24" s="10"/>
    </row>
    <row r="25" spans="1:7" ht="19.5" customHeight="1" x14ac:dyDescent="0.25">
      <c r="A25" s="20">
        <v>18</v>
      </c>
      <c r="B25" s="10"/>
      <c r="C25" s="10"/>
      <c r="D25" s="11"/>
      <c r="E25" s="11"/>
      <c r="F25" s="24" t="str">
        <f t="shared" ca="1" si="0"/>
        <v/>
      </c>
      <c r="G25" s="10"/>
    </row>
    <row r="26" spans="1:7" ht="19.5" customHeight="1" x14ac:dyDescent="0.25">
      <c r="A26" s="20">
        <v>19</v>
      </c>
      <c r="B26" s="10"/>
      <c r="C26" s="10"/>
      <c r="D26" s="11"/>
      <c r="E26" s="11"/>
      <c r="F26" s="24" t="str">
        <f t="shared" ca="1" si="0"/>
        <v/>
      </c>
      <c r="G26" s="10"/>
    </row>
    <row r="27" spans="1:7" ht="19.5" customHeight="1" x14ac:dyDescent="0.25">
      <c r="A27" s="20">
        <v>20</v>
      </c>
      <c r="B27" s="10"/>
      <c r="C27" s="10"/>
      <c r="D27" s="11"/>
      <c r="E27" s="11"/>
      <c r="F27" s="24" t="str">
        <f t="shared" ca="1" si="0"/>
        <v/>
      </c>
      <c r="G27" s="10"/>
    </row>
    <row r="29" spans="1:7" ht="1.5" customHeight="1" x14ac:dyDescent="0.25">
      <c r="A29" s="29"/>
      <c r="B29" s="29"/>
      <c r="C29" s="29"/>
      <c r="D29" s="29"/>
      <c r="E29" s="29"/>
      <c r="F29" s="29"/>
      <c r="G29" s="29"/>
    </row>
    <row r="30" spans="1:7" ht="36" customHeight="1" x14ac:dyDescent="0.25">
      <c r="A30" s="30" t="s">
        <v>31</v>
      </c>
      <c r="B30" s="30"/>
      <c r="C30" s="30"/>
      <c r="D30" s="30" t="s">
        <v>32</v>
      </c>
      <c r="E30" s="30"/>
      <c r="F30" s="30"/>
      <c r="G30" s="30"/>
    </row>
    <row r="31" spans="1:7" ht="13.5" customHeight="1" x14ac:dyDescent="0.25">
      <c r="A31" s="31" t="s">
        <v>135</v>
      </c>
      <c r="B31" s="31"/>
      <c r="C31" s="31"/>
      <c r="D31" s="31"/>
      <c r="E31" s="31"/>
      <c r="F31" s="31"/>
      <c r="G31" s="31"/>
    </row>
  </sheetData>
  <mergeCells count="10">
    <mergeCell ref="A1:G1"/>
    <mergeCell ref="A2:G2"/>
    <mergeCell ref="A3:G3"/>
    <mergeCell ref="A4:G4"/>
    <mergeCell ref="A5:G5"/>
    <mergeCell ref="A6:G6"/>
    <mergeCell ref="A29:G29"/>
    <mergeCell ref="A30:C30"/>
    <mergeCell ref="D30:G30"/>
    <mergeCell ref="A31:G31"/>
  </mergeCells>
  <dataValidations count="1">
    <dataValidation type="list" allowBlank="1" error="Seleccione un estado válido" sqref="F8:F27" xr:uid="{00000000-0002-0000-0600-000000000000}">
      <formula1>"VIGENTE,POR VENCER,VENCIDA,FUERA DE SERVICIO"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1A2E"/>
    <pageSetUpPr fitToPage="1"/>
  </sheetPr>
  <dimension ref="A1:F26"/>
  <sheetViews>
    <sheetView showGridLines="0" zoomScaleNormal="100" workbookViewId="0">
      <selection activeCell="C13" sqref="C13"/>
    </sheetView>
  </sheetViews>
  <sheetFormatPr baseColWidth="10" defaultColWidth="8.7109375" defaultRowHeight="15" x14ac:dyDescent="0.25"/>
  <cols>
    <col min="1" max="1" width="6" customWidth="1"/>
    <col min="2" max="2" width="14" customWidth="1"/>
    <col min="3" max="4" width="26" customWidth="1"/>
    <col min="5" max="5" width="14" customWidth="1"/>
    <col min="6" max="6" width="30" customWidth="1"/>
  </cols>
  <sheetData>
    <row r="1" spans="1:6" ht="92.1" customHeight="1" x14ac:dyDescent="0.25">
      <c r="A1" s="35"/>
      <c r="B1" s="35"/>
      <c r="C1" s="35"/>
      <c r="D1" s="35"/>
      <c r="E1" s="35"/>
      <c r="F1" s="35"/>
    </row>
    <row r="2" spans="1:6" ht="12.95" customHeight="1" x14ac:dyDescent="0.25">
      <c r="A2" s="58"/>
      <c r="B2" s="58"/>
      <c r="C2" s="58"/>
      <c r="D2" s="58"/>
      <c r="E2" s="58"/>
      <c r="F2" s="58"/>
    </row>
    <row r="3" spans="1:6" ht="18" customHeight="1" x14ac:dyDescent="0.25">
      <c r="A3" s="36" t="s">
        <v>0</v>
      </c>
      <c r="B3" s="36"/>
      <c r="C3" s="36"/>
      <c r="D3" s="36"/>
      <c r="E3" s="36"/>
      <c r="F3" s="36"/>
    </row>
    <row r="4" spans="1:6" ht="25.5" customHeight="1" x14ac:dyDescent="0.25">
      <c r="A4" s="37" t="s">
        <v>130</v>
      </c>
      <c r="B4" s="37"/>
      <c r="C4" s="37"/>
      <c r="D4" s="37"/>
      <c r="E4" s="37"/>
      <c r="F4" s="37"/>
    </row>
    <row r="5" spans="1:6" ht="15.75" customHeight="1" x14ac:dyDescent="0.25">
      <c r="A5" s="38" t="s">
        <v>138</v>
      </c>
      <c r="B5" s="38"/>
      <c r="C5" s="38"/>
      <c r="D5" s="38"/>
      <c r="E5" s="38"/>
      <c r="F5" s="38"/>
    </row>
    <row r="6" spans="1:6" ht="3" customHeight="1" x14ac:dyDescent="0.25">
      <c r="A6" s="32"/>
      <c r="B6" s="32"/>
      <c r="C6" s="32"/>
      <c r="D6" s="32"/>
      <c r="E6" s="32"/>
      <c r="F6" s="32"/>
    </row>
    <row r="7" spans="1:6" ht="24" customHeight="1" x14ac:dyDescent="0.25">
      <c r="A7" s="14" t="s">
        <v>112</v>
      </c>
      <c r="B7" s="14" t="s">
        <v>131</v>
      </c>
      <c r="C7" s="14" t="s">
        <v>132</v>
      </c>
      <c r="D7" s="14" t="s">
        <v>133</v>
      </c>
      <c r="E7" s="14" t="s">
        <v>134</v>
      </c>
      <c r="F7" s="14" t="s">
        <v>129</v>
      </c>
    </row>
    <row r="8" spans="1:6" ht="21.75" customHeight="1" x14ac:dyDescent="0.25">
      <c r="A8" s="20">
        <v>1</v>
      </c>
      <c r="B8" s="11">
        <v>46177</v>
      </c>
      <c r="C8" s="10" t="s">
        <v>147</v>
      </c>
      <c r="D8" s="10" t="s">
        <v>142</v>
      </c>
      <c r="E8" s="16">
        <v>1762.2</v>
      </c>
      <c r="F8" s="10"/>
    </row>
    <row r="9" spans="1:6" ht="21.75" customHeight="1" x14ac:dyDescent="0.25">
      <c r="A9" s="20">
        <v>2</v>
      </c>
      <c r="B9" s="11">
        <v>46186</v>
      </c>
      <c r="C9" s="10" t="s">
        <v>147</v>
      </c>
      <c r="D9" s="10" t="s">
        <v>149</v>
      </c>
      <c r="E9" s="16">
        <v>1812.3</v>
      </c>
      <c r="F9" s="10"/>
    </row>
    <row r="10" spans="1:6" ht="21.75" customHeight="1" x14ac:dyDescent="0.25">
      <c r="A10" s="20">
        <v>3</v>
      </c>
      <c r="B10" s="11">
        <v>46191</v>
      </c>
      <c r="C10" s="10" t="s">
        <v>147</v>
      </c>
      <c r="D10" s="10" t="s">
        <v>142</v>
      </c>
      <c r="E10" s="16">
        <v>1852.3</v>
      </c>
      <c r="F10" s="10"/>
    </row>
    <row r="11" spans="1:6" ht="21.75" customHeight="1" x14ac:dyDescent="0.25">
      <c r="A11" s="20">
        <v>4</v>
      </c>
      <c r="B11" s="11">
        <v>46199</v>
      </c>
      <c r="C11" s="10" t="s">
        <v>147</v>
      </c>
      <c r="D11" s="10" t="s">
        <v>149</v>
      </c>
      <c r="E11" s="16">
        <v>1909.6</v>
      </c>
      <c r="F11" s="10"/>
    </row>
    <row r="12" spans="1:6" ht="21.75" customHeight="1" x14ac:dyDescent="0.25">
      <c r="A12" s="20">
        <v>5</v>
      </c>
      <c r="B12" s="11"/>
      <c r="C12" s="10"/>
      <c r="D12" s="10"/>
      <c r="E12" s="16"/>
      <c r="F12" s="10"/>
    </row>
    <row r="13" spans="1:6" ht="21.75" customHeight="1" x14ac:dyDescent="0.25">
      <c r="A13" s="20">
        <v>6</v>
      </c>
      <c r="B13" s="11"/>
      <c r="C13" s="10"/>
      <c r="D13" s="10"/>
      <c r="E13" s="16"/>
      <c r="F13" s="10"/>
    </row>
    <row r="14" spans="1:6" ht="21.75" customHeight="1" x14ac:dyDescent="0.25">
      <c r="A14" s="20">
        <v>7</v>
      </c>
      <c r="B14" s="11"/>
      <c r="C14" s="10"/>
      <c r="D14" s="10"/>
      <c r="E14" s="16"/>
      <c r="F14" s="10"/>
    </row>
    <row r="15" spans="1:6" ht="21.75" customHeight="1" x14ac:dyDescent="0.25">
      <c r="A15" s="20">
        <v>8</v>
      </c>
      <c r="B15" s="11"/>
      <c r="C15" s="10"/>
      <c r="D15" s="10"/>
      <c r="E15" s="16"/>
      <c r="F15" s="10"/>
    </row>
    <row r="16" spans="1:6" ht="21.75" customHeight="1" x14ac:dyDescent="0.25">
      <c r="A16" s="20">
        <v>9</v>
      </c>
      <c r="B16" s="11"/>
      <c r="C16" s="10"/>
      <c r="D16" s="10"/>
      <c r="E16" s="16"/>
      <c r="F16" s="10"/>
    </row>
    <row r="17" spans="1:6" ht="21.75" customHeight="1" x14ac:dyDescent="0.25">
      <c r="A17" s="20">
        <v>10</v>
      </c>
      <c r="B17" s="11"/>
      <c r="C17" s="10"/>
      <c r="D17" s="10"/>
      <c r="E17" s="16"/>
      <c r="F17" s="10"/>
    </row>
    <row r="18" spans="1:6" ht="21.75" customHeight="1" x14ac:dyDescent="0.25">
      <c r="A18" s="20">
        <v>11</v>
      </c>
      <c r="B18" s="11"/>
      <c r="C18" s="10"/>
      <c r="D18" s="10"/>
      <c r="E18" s="16"/>
      <c r="F18" s="10"/>
    </row>
    <row r="19" spans="1:6" ht="21.75" customHeight="1" x14ac:dyDescent="0.25">
      <c r="A19" s="20">
        <v>12</v>
      </c>
      <c r="B19" s="11"/>
      <c r="C19" s="10"/>
      <c r="D19" s="10"/>
      <c r="E19" s="16"/>
      <c r="F19" s="10"/>
    </row>
    <row r="20" spans="1:6" ht="21.75" customHeight="1" x14ac:dyDescent="0.25">
      <c r="A20" s="20">
        <v>13</v>
      </c>
      <c r="B20" s="11"/>
      <c r="C20" s="10"/>
      <c r="D20" s="10"/>
      <c r="E20" s="16"/>
      <c r="F20" s="10"/>
    </row>
    <row r="21" spans="1:6" ht="21.75" customHeight="1" x14ac:dyDescent="0.25">
      <c r="A21" s="20">
        <v>14</v>
      </c>
      <c r="B21" s="11"/>
      <c r="C21" s="10"/>
      <c r="D21" s="10"/>
      <c r="E21" s="16"/>
      <c r="F21" s="10"/>
    </row>
    <row r="22" spans="1:6" ht="21.75" customHeight="1" x14ac:dyDescent="0.25">
      <c r="A22" s="20">
        <v>15</v>
      </c>
      <c r="B22" s="11"/>
      <c r="C22" s="10"/>
      <c r="D22" s="10"/>
      <c r="E22" s="16"/>
      <c r="F22" s="10"/>
    </row>
    <row r="24" spans="1:6" ht="1.5" customHeight="1" x14ac:dyDescent="0.25">
      <c r="A24" s="29"/>
      <c r="B24" s="29"/>
      <c r="C24" s="29"/>
      <c r="D24" s="29"/>
      <c r="E24" s="29"/>
      <c r="F24" s="29"/>
    </row>
    <row r="25" spans="1:6" ht="36" customHeight="1" x14ac:dyDescent="0.25">
      <c r="A25" s="30" t="s">
        <v>31</v>
      </c>
      <c r="B25" s="30"/>
      <c r="C25" s="30"/>
      <c r="D25" s="30" t="s">
        <v>32</v>
      </c>
      <c r="E25" s="30"/>
      <c r="F25" s="30"/>
    </row>
    <row r="26" spans="1:6" ht="13.5" customHeight="1" x14ac:dyDescent="0.25">
      <c r="A26" s="31" t="s">
        <v>135</v>
      </c>
      <c r="B26" s="31"/>
      <c r="C26" s="31"/>
      <c r="D26" s="31"/>
      <c r="E26" s="31"/>
      <c r="F26" s="31"/>
    </row>
  </sheetData>
  <mergeCells count="10">
    <mergeCell ref="A1:F1"/>
    <mergeCell ref="A2:F2"/>
    <mergeCell ref="A3:F3"/>
    <mergeCell ref="A4:F4"/>
    <mergeCell ref="A5:F5"/>
    <mergeCell ref="A6:F6"/>
    <mergeCell ref="A24:F24"/>
    <mergeCell ref="A25:C25"/>
    <mergeCell ref="D25:F25"/>
    <mergeCell ref="A26:F26"/>
  </mergeCells>
  <dataValidations count="2">
    <dataValidation type="list" allowBlank="1" sqref="C8:C22" xr:uid="{00000000-0002-0000-0700-000000000000}">
      <formula1>"Filtro de Aceite,Filtro de Combustible,Filtro de Aire,Filtro Hidráulico,Filtro Separador Agua/Combustible,Otro"</formula1>
      <formula2>0</formula2>
    </dataValidation>
    <dataValidation type="list" allowBlank="1" sqref="D8:D22" xr:uid="{00000000-0002-0000-0700-000001000000}">
      <formula1>"Mantenimiento Programado,Contaminación,Vencimiento de Horas,Inspección Visual,Falla Detectada,Otro"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INFORME SEMANAL</vt:lpstr>
      <vt:lpstr>NO RUTINAS</vt:lpstr>
      <vt:lpstr>TRABAJOS PENDIENTES</vt:lpstr>
      <vt:lpstr>CONSUMO MATERIALES</vt:lpstr>
      <vt:lpstr>PEDIDOS</vt:lpstr>
      <vt:lpstr>HERRAMIENTAS</vt:lpstr>
      <vt:lpstr>CAMBIO 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DOMAN LEON</cp:lastModifiedBy>
  <cp:revision>0</cp:revision>
  <dcterms:created xsi:type="dcterms:W3CDTF">2026-05-18T20:34:59Z</dcterms:created>
  <dcterms:modified xsi:type="dcterms:W3CDTF">2026-07-06T23:39:15Z</dcterms:modified>
  <dc:language>en-US</dc:language>
</cp:coreProperties>
</file>